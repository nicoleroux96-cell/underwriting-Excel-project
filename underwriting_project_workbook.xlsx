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slicerCaches/slicerCache8.xml" ContentType="application/vnd.ms-excel.slicerCache+xml"/>
  <Override PartName="/xl/slicerCaches/slicerCache9.xml" ContentType="application/vnd.ms-excel.slicerCache+xml"/>
  <Override PartName="/xl/slicerCaches/slicerCache10.xml" ContentType="application/vnd.ms-excel.slicerCache+xml"/>
  <Override PartName="/xl/slicerCaches/slicerCache11.xml" ContentType="application/vnd.ms-excel.slicerCache+xml"/>
  <Override PartName="/xl/slicerCaches/slicerCache1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tables/table1.xml" ContentType="application/vnd.openxmlformats-officedocument.spreadsheetml.table+xml"/>
  <Override PartName="/xl/slicers/slicer1.xml" ContentType="application/vnd.ms-excel.slicer+xml"/>
  <Override PartName="/xl/drawings/drawing2.xml" ContentType="application/vnd.openxmlformats-officedocument.drawing+xml"/>
  <Override PartName="/xl/slicers/slicer2.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hidePivotFieldList="1" defaultThemeVersion="202300"/>
  <mc:AlternateContent xmlns:mc="http://schemas.openxmlformats.org/markup-compatibility/2006">
    <mc:Choice Requires="x15">
      <x15ac:absPath xmlns:x15ac="http://schemas.microsoft.com/office/spreadsheetml/2010/11/ac" url="https://d.docs.live.net/ab427f37c562ad4c/Desktop/Excel personal project/"/>
    </mc:Choice>
  </mc:AlternateContent>
  <xr:revisionPtr revIDLastSave="2406" documentId="8_{DF841D2E-DCA2-4D15-8804-B9DBD1380849}" xr6:coauthVersionLast="47" xr6:coauthVersionMax="47" xr10:uidLastSave="{208BF1F6-46BD-428E-8FBC-341868FF318D}"/>
  <bookViews>
    <workbookView xWindow="-120" yWindow="-120" windowWidth="29040" windowHeight="15720" activeTab="3" xr2:uid="{218E9995-07F4-4270-90F7-3B02B235CB57}"/>
  </bookViews>
  <sheets>
    <sheet name="Policy Table " sheetId="2" r:id="rId1"/>
    <sheet name="Dashboard" sheetId="6" r:id="rId2"/>
    <sheet name="KPI calculations" sheetId="3" r:id="rId3"/>
    <sheet name="PivotTables " sheetId="4" r:id="rId4"/>
  </sheets>
  <definedNames>
    <definedName name="data">Table2[]</definedName>
    <definedName name="Slicer_Claims_Frequency">#N/A</definedName>
    <definedName name="Slicer_Client_Name">#N/A</definedName>
    <definedName name="Slicer_Final_Risk_Level">#N/A</definedName>
    <definedName name="Slicer_Industry">#N/A</definedName>
    <definedName name="Slicer_Industry1">#N/A</definedName>
    <definedName name="Slicer_Policy_Status">#N/A</definedName>
    <definedName name="Slicer_Policy_Type">#N/A</definedName>
    <definedName name="Slicer_Policy_Type1">#N/A</definedName>
    <definedName name="Slicer_Province">#N/A</definedName>
    <definedName name="Slicer_Province1">#N/A</definedName>
    <definedName name="Slicer_Risk_Level">#N/A</definedName>
    <definedName name="Slicer_Risk_Level1">#N/A</definedName>
  </definedNames>
  <calcPr calcId="191029"/>
  <pivotCaches>
    <pivotCache cacheId="3" r:id="rId5"/>
  </pivotCaches>
  <extLst>
    <ext xmlns:x14="http://schemas.microsoft.com/office/spreadsheetml/2009/9/main" uri="{BBE1A952-AA13-448e-AADC-164F8A28A991}">
      <x14:slicerCaches>
        <x14:slicerCache r:id="rId6"/>
        <x14:slicerCache r:id="rId7"/>
        <x14:slicerCache r:id="rId8"/>
        <x14:slicerCache r:id="rId9"/>
      </x14:slicerCaches>
    </ex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10"/>
        <x14:slicerCache r:id="rId11"/>
        <x14:slicerCache r:id="rId12"/>
        <x14:slicerCache r:id="rId13"/>
        <x14:slicerCache r:id="rId14"/>
        <x14:slicerCache r:id="rId15"/>
        <x14:slicerCache r:id="rId16"/>
        <x14:slicerCache r:id="rId17"/>
      </x15:slicerCache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Z4" i="6" l="1"/>
  <c r="N8" i="2" a="1"/>
  <c r="N8" i="2" s="1"/>
  <c r="O8" i="2" s="1" a="1"/>
  <c r="O8" i="2" s="1"/>
  <c r="P8" i="2" s="1" a="1"/>
  <c r="P8" i="2" s="1"/>
  <c r="N9" i="2" a="1"/>
  <c r="N9" i="2" s="1"/>
  <c r="O9" i="2" s="1" a="1"/>
  <c r="O9" i="2" s="1"/>
  <c r="P9" i="2" s="1" a="1"/>
  <c r="P9" i="2" s="1"/>
  <c r="N10" i="2" a="1"/>
  <c r="N10" i="2" s="1"/>
  <c r="O10" i="2" s="1" a="1"/>
  <c r="O10" i="2" s="1"/>
  <c r="P10" i="2" s="1" a="1"/>
  <c r="P10" i="2" s="1"/>
  <c r="N11" i="2" a="1"/>
  <c r="N11" i="2" s="1"/>
  <c r="O11" i="2" s="1" a="1"/>
  <c r="O11" i="2" s="1"/>
  <c r="P11" i="2" s="1" a="1"/>
  <c r="P11" i="2" s="1"/>
  <c r="N12" i="2" a="1"/>
  <c r="N12" i="2" s="1"/>
  <c r="O12" i="2" s="1" a="1"/>
  <c r="O12" i="2" s="1"/>
  <c r="P12" i="2" s="1" a="1"/>
  <c r="P12" i="2" s="1"/>
  <c r="N13" i="2" a="1"/>
  <c r="N13" i="2" s="1"/>
  <c r="O13" i="2" s="1" a="1"/>
  <c r="O13" i="2" s="1"/>
  <c r="P13" i="2" s="1" a="1"/>
  <c r="P13" i="2" s="1"/>
  <c r="N14" i="2" a="1"/>
  <c r="N14" i="2" s="1"/>
  <c r="O14" i="2" s="1" a="1"/>
  <c r="O14" i="2" s="1"/>
  <c r="P14" i="2" s="1" a="1"/>
  <c r="P14" i="2" s="1"/>
  <c r="N15" i="2" a="1"/>
  <c r="N15" i="2" s="1"/>
  <c r="O15" i="2" s="1" a="1"/>
  <c r="O15" i="2" s="1"/>
  <c r="P15" i="2" s="1" a="1"/>
  <c r="P15" i="2" s="1"/>
  <c r="N16" i="2" a="1"/>
  <c r="N16" i="2" s="1"/>
  <c r="O16" i="2" s="1" a="1"/>
  <c r="O16" i="2" s="1"/>
  <c r="P16" i="2" s="1" a="1"/>
  <c r="P16" i="2" s="1"/>
  <c r="N17" i="2" a="1"/>
  <c r="N17" i="2" s="1"/>
  <c r="O17" i="2" s="1" a="1"/>
  <c r="O17" i="2" s="1"/>
  <c r="P17" i="2" s="1" a="1"/>
  <c r="P17" i="2" s="1"/>
  <c r="N18" i="2" a="1"/>
  <c r="N18" i="2" s="1"/>
  <c r="O18" i="2" s="1" a="1"/>
  <c r="O18" i="2" s="1"/>
  <c r="P18" i="2" s="1" a="1"/>
  <c r="P18" i="2" s="1"/>
  <c r="N19" i="2" a="1"/>
  <c r="N19" i="2" s="1"/>
  <c r="O19" i="2" s="1" a="1"/>
  <c r="O19" i="2" s="1"/>
  <c r="P19" i="2" s="1" a="1"/>
  <c r="P19" i="2" s="1"/>
  <c r="N20" i="2" a="1"/>
  <c r="N20" i="2" s="1"/>
  <c r="O20" i="2" s="1" a="1"/>
  <c r="O20" i="2" s="1"/>
  <c r="P20" i="2" s="1" a="1"/>
  <c r="P20" i="2" s="1"/>
  <c r="N21" i="2" a="1"/>
  <c r="N21" i="2" s="1"/>
  <c r="O21" i="2" s="1" a="1"/>
  <c r="O21" i="2" s="1"/>
  <c r="P21" i="2" s="1" a="1"/>
  <c r="P21" i="2" s="1"/>
  <c r="N22" i="2" a="1"/>
  <c r="N22" i="2" s="1"/>
  <c r="O22" i="2" s="1" a="1"/>
  <c r="O22" i="2" s="1"/>
  <c r="P22" i="2" s="1" a="1"/>
  <c r="P22" i="2" s="1"/>
  <c r="N23" i="2" a="1"/>
  <c r="N23" i="2" s="1"/>
  <c r="O23" i="2" s="1" a="1"/>
  <c r="O23" i="2" s="1"/>
  <c r="P23" i="2" s="1" a="1"/>
  <c r="P23" i="2" s="1"/>
  <c r="N24" i="2" a="1"/>
  <c r="N24" i="2" s="1"/>
  <c r="O24" i="2" s="1" a="1"/>
  <c r="O24" i="2" s="1"/>
  <c r="P24" i="2" s="1" a="1"/>
  <c r="P24" i="2" s="1"/>
  <c r="N25" i="2" a="1"/>
  <c r="N25" i="2" s="1"/>
  <c r="O25" i="2" s="1" a="1"/>
  <c r="O25" i="2" s="1"/>
  <c r="P25" i="2" s="1" a="1"/>
  <c r="P25" i="2" s="1"/>
  <c r="N26" i="2" a="1"/>
  <c r="N26" i="2" s="1"/>
  <c r="O26" i="2" s="1" a="1"/>
  <c r="O26" i="2" s="1"/>
  <c r="P26" i="2" s="1" a="1"/>
  <c r="P26" i="2" s="1"/>
  <c r="N27" i="2" a="1"/>
  <c r="N27" i="2" s="1"/>
  <c r="O27" i="2" s="1" a="1"/>
  <c r="O27" i="2" s="1"/>
  <c r="P27" i="2" s="1" a="1"/>
  <c r="P27" i="2" s="1"/>
  <c r="N28" i="2" a="1"/>
  <c r="N28" i="2" s="1"/>
  <c r="O28" i="2" s="1" a="1"/>
  <c r="O28" i="2" s="1"/>
  <c r="P28" i="2" s="1" a="1"/>
  <c r="P28" i="2" s="1"/>
  <c r="N29" i="2" a="1"/>
  <c r="N29" i="2" s="1"/>
  <c r="O29" i="2" s="1" a="1"/>
  <c r="O29" i="2" s="1"/>
  <c r="P29" i="2" s="1" a="1"/>
  <c r="P29" i="2" s="1"/>
  <c r="N30" i="2" a="1"/>
  <c r="N30" i="2" s="1"/>
  <c r="O30" i="2" s="1" a="1"/>
  <c r="O30" i="2" s="1"/>
  <c r="P30" i="2" s="1" a="1"/>
  <c r="P30" i="2" s="1"/>
  <c r="N31" i="2" a="1"/>
  <c r="N31" i="2" s="1"/>
  <c r="O31" i="2" s="1" a="1"/>
  <c r="O31" i="2" s="1"/>
  <c r="P31" i="2" s="1" a="1"/>
  <c r="P31" i="2" s="1"/>
  <c r="N32" i="2" a="1"/>
  <c r="N32" i="2" s="1"/>
  <c r="O32" i="2" s="1" a="1"/>
  <c r="O32" i="2" s="1"/>
  <c r="P32" i="2" s="1" a="1"/>
  <c r="P32" i="2" s="1"/>
  <c r="N33" i="2" a="1"/>
  <c r="N33" i="2" s="1"/>
  <c r="O33" i="2" s="1" a="1"/>
  <c r="O33" i="2" s="1"/>
  <c r="P33" i="2" s="1" a="1"/>
  <c r="P33" i="2" s="1"/>
  <c r="N34" i="2" a="1"/>
  <c r="N34" i="2" s="1"/>
  <c r="O34" i="2" s="1" a="1"/>
  <c r="O34" i="2" s="1"/>
  <c r="P34" i="2" s="1" a="1"/>
  <c r="P34" i="2" s="1"/>
  <c r="N35" i="2" a="1"/>
  <c r="N35" i="2" s="1"/>
  <c r="O35" i="2" s="1" a="1"/>
  <c r="O35" i="2" s="1"/>
  <c r="P35" i="2" s="1" a="1"/>
  <c r="P35" i="2" s="1"/>
  <c r="N36" i="2" a="1"/>
  <c r="N36" i="2" s="1"/>
  <c r="O36" i="2" s="1" a="1"/>
  <c r="O36" i="2" s="1"/>
  <c r="P36" i="2" s="1" a="1"/>
  <c r="P36" i="2" s="1"/>
  <c r="N37" i="2" a="1"/>
  <c r="N37" i="2" s="1"/>
  <c r="O37" i="2" s="1" a="1"/>
  <c r="O37" i="2" s="1"/>
  <c r="P37" i="2" s="1" a="1"/>
  <c r="P37" i="2" s="1"/>
  <c r="N38" i="2" a="1"/>
  <c r="N38" i="2" s="1"/>
  <c r="O38" i="2" s="1" a="1"/>
  <c r="O38" i="2" s="1"/>
  <c r="P38" i="2" s="1" a="1"/>
  <c r="P38" i="2" s="1"/>
  <c r="N39" i="2" a="1"/>
  <c r="N39" i="2" s="1"/>
  <c r="O39" i="2" s="1" a="1"/>
  <c r="O39" i="2" s="1"/>
  <c r="P39" i="2" s="1" a="1"/>
  <c r="P39" i="2" s="1"/>
  <c r="N40" i="2" a="1"/>
  <c r="N40" i="2" s="1"/>
  <c r="O40" i="2" s="1" a="1"/>
  <c r="O40" i="2" s="1"/>
  <c r="P40" i="2" s="1" a="1"/>
  <c r="P40" i="2" s="1"/>
  <c r="N41" i="2" a="1"/>
  <c r="N41" i="2" s="1"/>
  <c r="O41" i="2" s="1" a="1"/>
  <c r="O41" i="2" s="1"/>
  <c r="P41" i="2" s="1" a="1"/>
  <c r="P41" i="2" s="1"/>
  <c r="N42" i="2" a="1"/>
  <c r="N42" i="2" s="1"/>
  <c r="O42" i="2" s="1" a="1"/>
  <c r="O42" i="2" s="1"/>
  <c r="P42" i="2" s="1" a="1"/>
  <c r="P42" i="2" s="1"/>
  <c r="N43" i="2" a="1"/>
  <c r="N43" i="2" s="1"/>
  <c r="O43" i="2" s="1" a="1"/>
  <c r="O43" i="2" s="1"/>
  <c r="P43" i="2" s="1" a="1"/>
  <c r="P43" i="2" s="1"/>
  <c r="N44" i="2" a="1"/>
  <c r="N44" i="2" s="1"/>
  <c r="O44" i="2" s="1" a="1"/>
  <c r="O44" i="2" s="1"/>
  <c r="P44" i="2" s="1" a="1"/>
  <c r="P44" i="2" s="1"/>
  <c r="N45" i="2" a="1"/>
  <c r="N45" i="2" s="1"/>
  <c r="O45" i="2" s="1" a="1"/>
  <c r="O45" i="2" s="1"/>
  <c r="P45" i="2" s="1" a="1"/>
  <c r="P45" i="2" s="1"/>
  <c r="N46" i="2" a="1"/>
  <c r="N46" i="2" s="1"/>
  <c r="O46" i="2" s="1" a="1"/>
  <c r="O46" i="2" s="1"/>
  <c r="P46" i="2" s="1" a="1"/>
  <c r="P46" i="2" s="1"/>
  <c r="N47" i="2" a="1"/>
  <c r="N47" i="2" s="1"/>
  <c r="O47" i="2" s="1" a="1"/>
  <c r="O47" i="2" s="1"/>
  <c r="P47" i="2" s="1" a="1"/>
  <c r="P47" i="2" s="1"/>
  <c r="N48" i="2" a="1"/>
  <c r="N48" i="2" s="1"/>
  <c r="O48" i="2" s="1" a="1"/>
  <c r="O48" i="2" s="1"/>
  <c r="P48" i="2" s="1" a="1"/>
  <c r="P48" i="2" s="1"/>
  <c r="N49" i="2" a="1"/>
  <c r="N49" i="2" s="1"/>
  <c r="O49" i="2" s="1" a="1"/>
  <c r="O49" i="2" s="1"/>
  <c r="P49" i="2" s="1" a="1"/>
  <c r="P49" i="2" s="1"/>
  <c r="N50" i="2" a="1"/>
  <c r="N50" i="2" s="1"/>
  <c r="O50" i="2" s="1" a="1"/>
  <c r="O50" i="2" s="1"/>
  <c r="P50" i="2" s="1" a="1"/>
  <c r="P50" i="2" s="1"/>
  <c r="N51" i="2" a="1"/>
  <c r="N51" i="2" s="1"/>
  <c r="O51" i="2" s="1" a="1"/>
  <c r="O51" i="2" s="1"/>
  <c r="P51" i="2" s="1" a="1"/>
  <c r="P51" i="2" s="1"/>
  <c r="N52" i="2" a="1"/>
  <c r="N52" i="2" s="1"/>
  <c r="O52" i="2" s="1" a="1"/>
  <c r="O52" i="2" s="1"/>
  <c r="P52" i="2" s="1" a="1"/>
  <c r="P52" i="2" s="1"/>
  <c r="N53" i="2" a="1"/>
  <c r="N53" i="2" s="1"/>
  <c r="O53" i="2" s="1" a="1"/>
  <c r="O53" i="2" s="1"/>
  <c r="P53" i="2" s="1" a="1"/>
  <c r="P53" i="2" s="1"/>
  <c r="N54" i="2" a="1"/>
  <c r="N54" i="2" s="1"/>
  <c r="O54" i="2" s="1" a="1"/>
  <c r="O54" i="2" s="1"/>
  <c r="P54" i="2" s="1" a="1"/>
  <c r="P54" i="2" s="1"/>
  <c r="N55" i="2" a="1"/>
  <c r="N55" i="2" s="1"/>
  <c r="O55" i="2" s="1" a="1"/>
  <c r="O55" i="2" s="1"/>
  <c r="P55" i="2" s="1" a="1"/>
  <c r="P55" i="2" s="1"/>
  <c r="N56" i="2" a="1"/>
  <c r="N56" i="2" s="1"/>
  <c r="O56" i="2" s="1" a="1"/>
  <c r="O56" i="2" s="1"/>
  <c r="P56" i="2" s="1" a="1"/>
  <c r="P56" i="2" s="1"/>
  <c r="N57" i="2" a="1"/>
  <c r="N57" i="2" s="1"/>
  <c r="O57" i="2" s="1" a="1"/>
  <c r="O57" i="2" s="1"/>
  <c r="P57" i="2" s="1" a="1"/>
  <c r="P57" i="2" s="1"/>
  <c r="N58" i="2" a="1"/>
  <c r="N58" i="2" s="1"/>
  <c r="O58" i="2" s="1" a="1"/>
  <c r="O58" i="2" s="1"/>
  <c r="P58" i="2" s="1" a="1"/>
  <c r="P58" i="2" s="1"/>
  <c r="N59" i="2" a="1"/>
  <c r="N59" i="2" s="1"/>
  <c r="O59" i="2" s="1" a="1"/>
  <c r="O59" i="2" s="1"/>
  <c r="P59" i="2" s="1" a="1"/>
  <c r="P59" i="2" s="1"/>
  <c r="N60" i="2" a="1"/>
  <c r="N60" i="2"/>
  <c r="O60" i="2" s="1" a="1"/>
  <c r="O60" i="2" s="1"/>
  <c r="P60" i="2" s="1" a="1"/>
  <c r="P60" i="2" s="1"/>
  <c r="N61" i="2" a="1"/>
  <c r="N61" i="2" s="1"/>
  <c r="O61" i="2" s="1" a="1"/>
  <c r="O61" i="2" s="1"/>
  <c r="P61" i="2" s="1" a="1"/>
  <c r="P61" i="2" s="1"/>
  <c r="N62" i="2" a="1"/>
  <c r="N62" i="2" s="1"/>
  <c r="O62" i="2" s="1" a="1"/>
  <c r="O62" i="2" s="1"/>
  <c r="P62" i="2" s="1" a="1"/>
  <c r="P62" i="2" s="1"/>
  <c r="N63" i="2" a="1"/>
  <c r="N63" i="2" s="1"/>
  <c r="O63" i="2" s="1" a="1"/>
  <c r="O63" i="2" s="1"/>
  <c r="P63" i="2" s="1" a="1"/>
  <c r="P63" i="2" s="1"/>
  <c r="N64" i="2" a="1"/>
  <c r="N64" i="2" s="1"/>
  <c r="O64" i="2" s="1" a="1"/>
  <c r="O64" i="2" s="1"/>
  <c r="P64" i="2" s="1" a="1"/>
  <c r="P64" i="2" s="1"/>
  <c r="N65" i="2" a="1"/>
  <c r="N65" i="2" s="1"/>
  <c r="O65" i="2" s="1" a="1"/>
  <c r="O65" i="2" s="1"/>
  <c r="P65" i="2" s="1" a="1"/>
  <c r="P65" i="2" s="1"/>
  <c r="N66" i="2" a="1"/>
  <c r="N66" i="2" s="1"/>
  <c r="O66" i="2" s="1" a="1"/>
  <c r="O66" i="2" s="1"/>
  <c r="P66" i="2" s="1" a="1"/>
  <c r="P66" i="2" s="1"/>
  <c r="N67" i="2" a="1"/>
  <c r="N67" i="2" s="1"/>
  <c r="O67" i="2" s="1" a="1"/>
  <c r="O67" i="2" s="1"/>
  <c r="P67" i="2" s="1" a="1"/>
  <c r="P67" i="2" s="1"/>
  <c r="N68" i="2" a="1"/>
  <c r="N68" i="2" s="1"/>
  <c r="O68" i="2" s="1" a="1"/>
  <c r="O68" i="2" s="1"/>
  <c r="P68" i="2" s="1" a="1"/>
  <c r="P68" i="2" s="1"/>
  <c r="N69" i="2" a="1"/>
  <c r="N69" i="2" s="1"/>
  <c r="O69" i="2" s="1" a="1"/>
  <c r="O69" i="2" s="1"/>
  <c r="P69" i="2" s="1" a="1"/>
  <c r="P69" i="2" s="1"/>
  <c r="N70" i="2" a="1"/>
  <c r="N70" i="2" s="1"/>
  <c r="O70" i="2" s="1" a="1"/>
  <c r="O70" i="2" s="1"/>
  <c r="P70" i="2" s="1" a="1"/>
  <c r="P70" i="2" s="1"/>
  <c r="N71" i="2" a="1"/>
  <c r="N71" i="2" s="1"/>
  <c r="O71" i="2" s="1" a="1"/>
  <c r="O71" i="2" s="1"/>
  <c r="P71" i="2" s="1" a="1"/>
  <c r="P71" i="2" s="1"/>
  <c r="N72" i="2" a="1"/>
  <c r="N72" i="2" s="1"/>
  <c r="O72" i="2" s="1" a="1"/>
  <c r="O72" i="2" s="1"/>
  <c r="P72" i="2" s="1" a="1"/>
  <c r="P72" i="2" s="1"/>
  <c r="N73" i="2" a="1"/>
  <c r="N73" i="2" s="1"/>
  <c r="O73" i="2" s="1" a="1"/>
  <c r="O73" i="2" s="1"/>
  <c r="P73" i="2" s="1" a="1"/>
  <c r="P73" i="2" s="1"/>
  <c r="N74" i="2" a="1"/>
  <c r="N74" i="2" s="1"/>
  <c r="O74" i="2" s="1" a="1"/>
  <c r="O74" i="2" s="1"/>
  <c r="P74" i="2" s="1" a="1"/>
  <c r="P74" i="2" s="1"/>
  <c r="N75" i="2" a="1"/>
  <c r="N75" i="2" s="1"/>
  <c r="O75" i="2" s="1" a="1"/>
  <c r="O75" i="2" s="1"/>
  <c r="P75" i="2" s="1" a="1"/>
  <c r="P75" i="2" s="1"/>
  <c r="N76" i="2" a="1"/>
  <c r="N76" i="2" s="1"/>
  <c r="O76" i="2" s="1" a="1"/>
  <c r="O76" i="2" s="1"/>
  <c r="P76" i="2" s="1" a="1"/>
  <c r="P76" i="2" s="1"/>
  <c r="N77" i="2" a="1"/>
  <c r="N77" i="2" s="1"/>
  <c r="O77" i="2" s="1" a="1"/>
  <c r="O77" i="2" s="1"/>
  <c r="P77" i="2" s="1" a="1"/>
  <c r="P77" i="2" s="1"/>
  <c r="N78" i="2" a="1"/>
  <c r="N78" i="2" s="1"/>
  <c r="O78" i="2" s="1" a="1"/>
  <c r="O78" i="2" s="1"/>
  <c r="P78" i="2" s="1" a="1"/>
  <c r="P78" i="2" s="1"/>
  <c r="N79" i="2" a="1"/>
  <c r="N79" i="2" s="1"/>
  <c r="O79" i="2" s="1" a="1"/>
  <c r="O79" i="2" s="1"/>
  <c r="P79" i="2" s="1" a="1"/>
  <c r="P79" i="2" s="1"/>
  <c r="N80" i="2" a="1"/>
  <c r="N80" i="2" s="1"/>
  <c r="O80" i="2" s="1" a="1"/>
  <c r="O80" i="2" s="1"/>
  <c r="P80" i="2" s="1" a="1"/>
  <c r="P80" i="2" s="1"/>
  <c r="N81" i="2" a="1"/>
  <c r="N81" i="2" s="1"/>
  <c r="O81" i="2" s="1" a="1"/>
  <c r="O81" i="2" s="1"/>
  <c r="P81" i="2" s="1" a="1"/>
  <c r="P81" i="2" s="1"/>
  <c r="N82" i="2" a="1"/>
  <c r="N82" i="2" s="1"/>
  <c r="O82" i="2" s="1" a="1"/>
  <c r="O82" i="2" s="1"/>
  <c r="P82" i="2" s="1" a="1"/>
  <c r="P82" i="2" s="1"/>
  <c r="N83" i="2" a="1"/>
  <c r="N83" i="2" s="1"/>
  <c r="O83" i="2" s="1" a="1"/>
  <c r="O83" i="2" s="1"/>
  <c r="P83" i="2" s="1" a="1"/>
  <c r="P83" i="2" s="1"/>
  <c r="N84" i="2" a="1"/>
  <c r="N84" i="2" s="1"/>
  <c r="O84" i="2" s="1" a="1"/>
  <c r="O84" i="2" s="1"/>
  <c r="P84" i="2" s="1" a="1"/>
  <c r="P84" i="2" s="1"/>
  <c r="N85" i="2" a="1"/>
  <c r="N85" i="2" s="1"/>
  <c r="O85" i="2" s="1" a="1"/>
  <c r="O85" i="2" s="1"/>
  <c r="P85" i="2" s="1" a="1"/>
  <c r="P85" i="2" s="1"/>
  <c r="N86" i="2" a="1"/>
  <c r="N86" i="2" s="1"/>
  <c r="O86" i="2" s="1" a="1"/>
  <c r="O86" i="2" s="1"/>
  <c r="P86" i="2" s="1" a="1"/>
  <c r="P86" i="2" s="1"/>
  <c r="N87" i="2" a="1"/>
  <c r="N87" i="2" s="1"/>
  <c r="O87" i="2" s="1" a="1"/>
  <c r="O87" i="2" s="1"/>
  <c r="P87" i="2" s="1" a="1"/>
  <c r="P87" i="2" s="1"/>
  <c r="N88" i="2" a="1"/>
  <c r="N88" i="2" s="1"/>
  <c r="O88" i="2" s="1" a="1"/>
  <c r="O88" i="2" s="1"/>
  <c r="P88" i="2" s="1" a="1"/>
  <c r="P88" i="2" s="1"/>
  <c r="N89" i="2" a="1"/>
  <c r="N89" i="2" s="1"/>
  <c r="O89" i="2" s="1" a="1"/>
  <c r="O89" i="2" s="1"/>
  <c r="P89" i="2" s="1" a="1"/>
  <c r="P89" i="2" s="1"/>
  <c r="N90" i="2" a="1"/>
  <c r="N90" i="2" s="1"/>
  <c r="O90" i="2" s="1" a="1"/>
  <c r="O90" i="2" s="1"/>
  <c r="P90" i="2" s="1" a="1"/>
  <c r="P90" i="2" s="1"/>
  <c r="N91" i="2" a="1"/>
  <c r="N91" i="2" s="1"/>
  <c r="O91" i="2" s="1" a="1"/>
  <c r="O91" i="2" s="1"/>
  <c r="P91" i="2" s="1" a="1"/>
  <c r="P91" i="2" s="1"/>
  <c r="N92" i="2" a="1"/>
  <c r="N92" i="2" s="1"/>
  <c r="O92" i="2" s="1" a="1"/>
  <c r="O92" i="2" s="1"/>
  <c r="P92" i="2" s="1" a="1"/>
  <c r="P92" i="2" s="1"/>
  <c r="N93" i="2" a="1"/>
  <c r="N93" i="2" s="1"/>
  <c r="O93" i="2" s="1" a="1"/>
  <c r="O93" i="2" s="1"/>
  <c r="P93" i="2" s="1" a="1"/>
  <c r="P93" i="2" s="1"/>
  <c r="N94" i="2" a="1"/>
  <c r="N94" i="2" s="1"/>
  <c r="O94" i="2" s="1" a="1"/>
  <c r="O94" i="2" s="1"/>
  <c r="P94" i="2" s="1" a="1"/>
  <c r="P94" i="2" s="1"/>
  <c r="N95" i="2" a="1"/>
  <c r="N95" i="2" s="1"/>
  <c r="O95" i="2" s="1" a="1"/>
  <c r="O95" i="2" s="1"/>
  <c r="P95" i="2" s="1" a="1"/>
  <c r="P95" i="2" s="1"/>
  <c r="N96" i="2" a="1"/>
  <c r="N96" i="2" s="1"/>
  <c r="O96" i="2" s="1" a="1"/>
  <c r="O96" i="2" s="1"/>
  <c r="P96" i="2" s="1" a="1"/>
  <c r="P96" i="2" s="1"/>
  <c r="N97" i="2" a="1"/>
  <c r="N97" i="2" s="1"/>
  <c r="O97" i="2" s="1" a="1"/>
  <c r="O97" i="2" s="1"/>
  <c r="P97" i="2" s="1" a="1"/>
  <c r="P97" i="2" s="1"/>
  <c r="N98" i="2" a="1"/>
  <c r="N98" i="2" s="1"/>
  <c r="O98" i="2" s="1" a="1"/>
  <c r="O98" i="2" s="1"/>
  <c r="P98" i="2" s="1" a="1"/>
  <c r="P98" i="2" s="1"/>
  <c r="N99" i="2" a="1"/>
  <c r="N99" i="2" s="1"/>
  <c r="O99" i="2" s="1" a="1"/>
  <c r="O99" i="2" s="1"/>
  <c r="P99" i="2" s="1" a="1"/>
  <c r="P99" i="2" s="1"/>
  <c r="N100" i="2" a="1"/>
  <c r="N100" i="2" s="1"/>
  <c r="O100" i="2" s="1" a="1"/>
  <c r="O100" i="2" s="1"/>
  <c r="P100" i="2" s="1" a="1"/>
  <c r="P100" i="2" s="1"/>
  <c r="N101" i="2" a="1"/>
  <c r="N101" i="2" s="1"/>
  <c r="O101" i="2" s="1" a="1"/>
  <c r="O101" i="2" s="1"/>
  <c r="P101" i="2" s="1" a="1"/>
  <c r="P101" i="2" s="1"/>
  <c r="N102" i="2" a="1"/>
  <c r="N102" i="2" s="1"/>
  <c r="O102" i="2" s="1" a="1"/>
  <c r="O102" i="2" s="1"/>
  <c r="P102" i="2" s="1" a="1"/>
  <c r="P102" i="2" s="1"/>
  <c r="N103" i="2" a="1"/>
  <c r="N103" i="2" s="1"/>
  <c r="O103" i="2" s="1" a="1"/>
  <c r="O103" i="2" s="1"/>
  <c r="P103" i="2" s="1" a="1"/>
  <c r="P103" i="2" s="1"/>
  <c r="N104" i="2" a="1"/>
  <c r="N104" i="2" s="1"/>
  <c r="O104" i="2" s="1" a="1"/>
  <c r="O104" i="2" s="1"/>
  <c r="P104" i="2" s="1" a="1"/>
  <c r="P104" i="2" s="1"/>
  <c r="N105" i="2" a="1"/>
  <c r="N105" i="2" s="1"/>
  <c r="O105" i="2" s="1" a="1"/>
  <c r="O105" i="2" s="1"/>
  <c r="P105" i="2" s="1" a="1"/>
  <c r="P105" i="2" s="1"/>
  <c r="N106" i="2" a="1"/>
  <c r="N106" i="2" s="1"/>
  <c r="O106" i="2" s="1" a="1"/>
  <c r="O106" i="2" s="1"/>
  <c r="P106" i="2" s="1" a="1"/>
  <c r="P106" i="2" s="1"/>
  <c r="N107" i="2" a="1"/>
  <c r="N107" i="2" s="1"/>
  <c r="O107" i="2" s="1" a="1"/>
  <c r="O107" i="2" s="1"/>
  <c r="P107" i="2" s="1" a="1"/>
  <c r="P107" i="2" s="1"/>
  <c r="N108" i="2" a="1"/>
  <c r="N108" i="2" s="1"/>
  <c r="O108" i="2" s="1" a="1"/>
  <c r="O108" i="2" s="1"/>
  <c r="P108" i="2" s="1" a="1"/>
  <c r="P108" i="2" s="1"/>
  <c r="N109" i="2" a="1"/>
  <c r="N109" i="2" s="1"/>
  <c r="O109" i="2" s="1" a="1"/>
  <c r="O109" i="2" s="1"/>
  <c r="P109" i="2" s="1" a="1"/>
  <c r="P109" i="2" s="1"/>
  <c r="N110" i="2" a="1"/>
  <c r="N110" i="2" s="1"/>
  <c r="O110" i="2" s="1" a="1"/>
  <c r="O110" i="2" s="1"/>
  <c r="P110" i="2" s="1" a="1"/>
  <c r="P110" i="2" s="1"/>
  <c r="N111" i="2" a="1"/>
  <c r="N111" i="2" s="1"/>
  <c r="O111" i="2" s="1" a="1"/>
  <c r="O111" i="2" s="1"/>
  <c r="P111" i="2" s="1" a="1"/>
  <c r="P111" i="2" s="1"/>
  <c r="N112" i="2" a="1"/>
  <c r="N112" i="2" s="1"/>
  <c r="O112" i="2" s="1" a="1"/>
  <c r="O112" i="2" s="1"/>
  <c r="P112" i="2" s="1" a="1"/>
  <c r="P112" i="2" s="1"/>
  <c r="N113" i="2" a="1"/>
  <c r="N113" i="2" s="1"/>
  <c r="O113" i="2" s="1" a="1"/>
  <c r="O113" i="2" s="1"/>
  <c r="P113" i="2" s="1" a="1"/>
  <c r="P113" i="2" s="1"/>
  <c r="N114" i="2" a="1"/>
  <c r="N114" i="2" s="1"/>
  <c r="O114" i="2" s="1" a="1"/>
  <c r="O114" i="2" s="1"/>
  <c r="P114" i="2" s="1" a="1"/>
  <c r="P114" i="2" s="1"/>
  <c r="N115" i="2" a="1"/>
  <c r="N115" i="2" s="1"/>
  <c r="O115" i="2" s="1" a="1"/>
  <c r="O115" i="2" s="1"/>
  <c r="P115" i="2" s="1" a="1"/>
  <c r="P115" i="2" s="1"/>
  <c r="N116" i="2" a="1"/>
  <c r="N116" i="2" s="1"/>
  <c r="O116" i="2" s="1" a="1"/>
  <c r="O116" i="2" s="1"/>
  <c r="P116" i="2" s="1" a="1"/>
  <c r="P116" i="2" s="1"/>
  <c r="N117" i="2" a="1"/>
  <c r="N117" i="2" s="1"/>
  <c r="O117" i="2" s="1" a="1"/>
  <c r="O117" i="2" s="1"/>
  <c r="P117" i="2" s="1" a="1"/>
  <c r="P117" i="2" s="1"/>
  <c r="N118" i="2" a="1"/>
  <c r="N118" i="2" s="1"/>
  <c r="O118" i="2" s="1" a="1"/>
  <c r="O118" i="2" s="1"/>
  <c r="P118" i="2" s="1" a="1"/>
  <c r="P118" i="2" s="1"/>
  <c r="N119" i="2" a="1"/>
  <c r="N119" i="2" s="1"/>
  <c r="O119" i="2" s="1" a="1"/>
  <c r="O119" i="2" s="1"/>
  <c r="P119" i="2" s="1" a="1"/>
  <c r="P119" i="2" s="1"/>
  <c r="N120" i="2" a="1"/>
  <c r="N120" i="2" s="1"/>
  <c r="O120" i="2" s="1" a="1"/>
  <c r="O120" i="2" s="1"/>
  <c r="P120" i="2" s="1" a="1"/>
  <c r="P120" i="2" s="1"/>
  <c r="N121" i="2" a="1"/>
  <c r="N121" i="2" s="1"/>
  <c r="O121" i="2" s="1" a="1"/>
  <c r="O121" i="2" s="1"/>
  <c r="P121" i="2" s="1" a="1"/>
  <c r="P121" i="2" s="1"/>
  <c r="N122" i="2" a="1"/>
  <c r="N122" i="2" s="1"/>
  <c r="O122" i="2" s="1" a="1"/>
  <c r="O122" i="2" s="1"/>
  <c r="P122" i="2" s="1" a="1"/>
  <c r="P122" i="2" s="1"/>
  <c r="N123" i="2" a="1"/>
  <c r="N123" i="2" s="1"/>
  <c r="O123" i="2" s="1" a="1"/>
  <c r="O123" i="2" s="1"/>
  <c r="P123" i="2" s="1" a="1"/>
  <c r="P123" i="2" s="1"/>
  <c r="N124" i="2" a="1"/>
  <c r="N124" i="2" s="1"/>
  <c r="O124" i="2" s="1" a="1"/>
  <c r="O124" i="2" s="1"/>
  <c r="P124" i="2" s="1" a="1"/>
  <c r="P124" i="2" s="1"/>
  <c r="N125" i="2" a="1"/>
  <c r="N125" i="2" s="1"/>
  <c r="O125" i="2" s="1" a="1"/>
  <c r="O125" i="2" s="1"/>
  <c r="P125" i="2" s="1" a="1"/>
  <c r="P125" i="2" s="1"/>
  <c r="N126" i="2" a="1"/>
  <c r="N126" i="2" s="1"/>
  <c r="O126" i="2" s="1" a="1"/>
  <c r="O126" i="2" s="1"/>
  <c r="P126" i="2" s="1" a="1"/>
  <c r="P126" i="2" s="1"/>
  <c r="N127" i="2" a="1"/>
  <c r="N127" i="2" s="1"/>
  <c r="O127" i="2" s="1" a="1"/>
  <c r="O127" i="2" s="1"/>
  <c r="P127" i="2" s="1" a="1"/>
  <c r="P127" i="2" s="1"/>
  <c r="N128" i="2" a="1"/>
  <c r="N128" i="2" s="1"/>
  <c r="O128" i="2" s="1" a="1"/>
  <c r="O128" i="2" s="1"/>
  <c r="P128" i="2" s="1" a="1"/>
  <c r="P128" i="2" s="1"/>
  <c r="N129" i="2" a="1"/>
  <c r="N129" i="2" s="1"/>
  <c r="O129" i="2" s="1" a="1"/>
  <c r="O129" i="2" s="1"/>
  <c r="P129" i="2" s="1" a="1"/>
  <c r="P129" i="2" s="1"/>
  <c r="N130" i="2" a="1"/>
  <c r="N130" i="2" s="1"/>
  <c r="O130" i="2" s="1" a="1"/>
  <c r="O130" i="2" s="1"/>
  <c r="P130" i="2" s="1" a="1"/>
  <c r="P130" i="2" s="1"/>
  <c r="N131" i="2" a="1"/>
  <c r="N131" i="2" s="1"/>
  <c r="O131" i="2" s="1" a="1"/>
  <c r="O131" i="2" s="1"/>
  <c r="P131" i="2" s="1" a="1"/>
  <c r="P131" i="2" s="1"/>
  <c r="N132" i="2" a="1"/>
  <c r="N132" i="2" s="1"/>
  <c r="O132" i="2" s="1" a="1"/>
  <c r="O132" i="2" s="1"/>
  <c r="P132" i="2" s="1" a="1"/>
  <c r="P132" i="2" s="1"/>
  <c r="N133" i="2" a="1"/>
  <c r="N133" i="2" s="1"/>
  <c r="O133" i="2" s="1" a="1"/>
  <c r="O133" i="2" s="1"/>
  <c r="P133" i="2" s="1" a="1"/>
  <c r="P133" i="2" s="1"/>
  <c r="N134" i="2" a="1"/>
  <c r="N134" i="2" s="1"/>
  <c r="O134" i="2" s="1" a="1"/>
  <c r="O134" i="2" s="1"/>
  <c r="P134" i="2" s="1" a="1"/>
  <c r="P134" i="2" s="1"/>
  <c r="N135" i="2" a="1"/>
  <c r="N135" i="2" s="1"/>
  <c r="O135" i="2" s="1" a="1"/>
  <c r="O135" i="2" s="1"/>
  <c r="P135" i="2" s="1" a="1"/>
  <c r="P135" i="2" s="1"/>
  <c r="N136" i="2" a="1"/>
  <c r="N136" i="2" s="1"/>
  <c r="O136" i="2" s="1" a="1"/>
  <c r="O136" i="2" s="1"/>
  <c r="P136" i="2" s="1" a="1"/>
  <c r="P136" i="2" s="1"/>
  <c r="N137" i="2" a="1"/>
  <c r="N137" i="2" s="1"/>
  <c r="O137" i="2" s="1" a="1"/>
  <c r="O137" i="2" s="1"/>
  <c r="P137" i="2" s="1" a="1"/>
  <c r="P137" i="2" s="1"/>
  <c r="N138" i="2" a="1"/>
  <c r="N138" i="2" s="1"/>
  <c r="O138" i="2" s="1" a="1"/>
  <c r="O138" i="2" s="1"/>
  <c r="P138" i="2" s="1" a="1"/>
  <c r="P138" i="2" s="1"/>
  <c r="N139" i="2" a="1"/>
  <c r="N139" i="2" s="1"/>
  <c r="O139" i="2" s="1" a="1"/>
  <c r="O139" i="2" s="1"/>
  <c r="P139" i="2" s="1" a="1"/>
  <c r="P139" i="2" s="1"/>
  <c r="N140" i="2" a="1"/>
  <c r="N140" i="2" s="1"/>
  <c r="O140" i="2" s="1" a="1"/>
  <c r="O140" i="2" s="1"/>
  <c r="P140" i="2" s="1" a="1"/>
  <c r="P140" i="2" s="1"/>
  <c r="N141" i="2" a="1"/>
  <c r="N141" i="2" s="1"/>
  <c r="O141" i="2" s="1" a="1"/>
  <c r="O141" i="2" s="1"/>
  <c r="P141" i="2" s="1" a="1"/>
  <c r="P141" i="2" s="1"/>
  <c r="N142" i="2" a="1"/>
  <c r="N142" i="2" s="1"/>
  <c r="O142" i="2" s="1" a="1"/>
  <c r="O142" i="2" s="1"/>
  <c r="P142" i="2" s="1" a="1"/>
  <c r="P142" i="2" s="1"/>
  <c r="N143" i="2" a="1"/>
  <c r="N143" i="2" s="1"/>
  <c r="O143" i="2" s="1" a="1"/>
  <c r="O143" i="2" s="1"/>
  <c r="P143" i="2" s="1" a="1"/>
  <c r="P143" i="2" s="1"/>
  <c r="N144" i="2" a="1"/>
  <c r="N144" i="2" s="1"/>
  <c r="O144" i="2" s="1" a="1"/>
  <c r="O144" i="2" s="1"/>
  <c r="P144" i="2" s="1" a="1"/>
  <c r="P144" i="2" s="1"/>
  <c r="N145" i="2" a="1"/>
  <c r="N145" i="2" s="1"/>
  <c r="O145" i="2" s="1" a="1"/>
  <c r="O145" i="2" s="1"/>
  <c r="P145" i="2" s="1" a="1"/>
  <c r="P145" i="2" s="1"/>
  <c r="N146" i="2" a="1"/>
  <c r="N146" i="2" s="1"/>
  <c r="O146" i="2" s="1" a="1"/>
  <c r="O146" i="2" s="1"/>
  <c r="P146" i="2" s="1" a="1"/>
  <c r="P146" i="2" s="1"/>
  <c r="N147" i="2" a="1"/>
  <c r="N147" i="2" s="1"/>
  <c r="O147" i="2" s="1" a="1"/>
  <c r="O147" i="2" s="1"/>
  <c r="P147" i="2" s="1" a="1"/>
  <c r="P147" i="2" s="1"/>
  <c r="N148" i="2" a="1"/>
  <c r="N148" i="2" s="1"/>
  <c r="O148" i="2" s="1" a="1"/>
  <c r="O148" i="2" s="1"/>
  <c r="P148" i="2" s="1" a="1"/>
  <c r="P148" i="2" s="1"/>
  <c r="N149" i="2" a="1"/>
  <c r="N149" i="2" s="1"/>
  <c r="O149" i="2" s="1" a="1"/>
  <c r="O149" i="2" s="1"/>
  <c r="P149" i="2" s="1" a="1"/>
  <c r="P149" i="2" s="1"/>
  <c r="N150" i="2" a="1"/>
  <c r="N150" i="2" s="1"/>
  <c r="O150" i="2" s="1" a="1"/>
  <c r="O150" i="2" s="1"/>
  <c r="P150" i="2" s="1" a="1"/>
  <c r="P150" i="2" s="1"/>
  <c r="N151" i="2" a="1"/>
  <c r="N151" i="2" s="1"/>
  <c r="O151" i="2" s="1" a="1"/>
  <c r="O151" i="2" s="1"/>
  <c r="P151" i="2" s="1" a="1"/>
  <c r="P151" i="2" s="1"/>
  <c r="N152" i="2" a="1"/>
  <c r="N152" i="2" s="1"/>
  <c r="O152" i="2" s="1" a="1"/>
  <c r="O152" i="2" s="1"/>
  <c r="P152" i="2" s="1" a="1"/>
  <c r="P152" i="2" s="1"/>
  <c r="N153" i="2" a="1"/>
  <c r="N153" i="2" s="1"/>
  <c r="O153" i="2" s="1" a="1"/>
  <c r="O153" i="2" s="1"/>
  <c r="P153" i="2" s="1" a="1"/>
  <c r="P153" i="2" s="1"/>
  <c r="N154" i="2" a="1"/>
  <c r="N154" i="2" s="1"/>
  <c r="O154" i="2" s="1" a="1"/>
  <c r="O154" i="2" s="1"/>
  <c r="P154" i="2" s="1" a="1"/>
  <c r="P154" i="2" s="1"/>
  <c r="N155" i="2" a="1"/>
  <c r="N155" i="2" s="1"/>
  <c r="O155" i="2" s="1" a="1"/>
  <c r="O155" i="2" s="1"/>
  <c r="P155" i="2" s="1" a="1"/>
  <c r="P155" i="2" s="1"/>
  <c r="N156" i="2" a="1"/>
  <c r="N156" i="2" s="1"/>
  <c r="O156" i="2" s="1" a="1"/>
  <c r="O156" i="2" s="1"/>
  <c r="P156" i="2" s="1" a="1"/>
  <c r="P156" i="2" s="1"/>
  <c r="N157" i="2" a="1"/>
  <c r="N157" i="2" s="1"/>
  <c r="O157" i="2" s="1" a="1"/>
  <c r="O157" i="2" s="1"/>
  <c r="P157" i="2" s="1" a="1"/>
  <c r="P157" i="2" s="1"/>
  <c r="N158" i="2" a="1"/>
  <c r="N158" i="2" s="1"/>
  <c r="O158" i="2" s="1" a="1"/>
  <c r="O158" i="2" s="1"/>
  <c r="P158" i="2" s="1" a="1"/>
  <c r="P158" i="2" s="1"/>
  <c r="N159" i="2" a="1"/>
  <c r="N159" i="2" s="1"/>
  <c r="O159" i="2" s="1" a="1"/>
  <c r="O159" i="2" s="1"/>
  <c r="P159" i="2" s="1" a="1"/>
  <c r="P159" i="2" s="1"/>
  <c r="N160" i="2" a="1"/>
  <c r="N160" i="2" s="1"/>
  <c r="O160" i="2" s="1" a="1"/>
  <c r="O160" i="2" s="1"/>
  <c r="P160" i="2" s="1" a="1"/>
  <c r="P160" i="2" s="1"/>
  <c r="N161" i="2" a="1"/>
  <c r="N161" i="2" s="1"/>
  <c r="O161" i="2" s="1" a="1"/>
  <c r="O161" i="2" s="1"/>
  <c r="P161" i="2" s="1" a="1"/>
  <c r="P161" i="2" s="1"/>
  <c r="N162" i="2" a="1"/>
  <c r="N162" i="2" s="1"/>
  <c r="O162" i="2" s="1" a="1"/>
  <c r="O162" i="2" s="1"/>
  <c r="P162" i="2" s="1" a="1"/>
  <c r="P162" i="2" s="1"/>
  <c r="N163" i="2" a="1"/>
  <c r="N163" i="2" s="1"/>
  <c r="O163" i="2" s="1" a="1"/>
  <c r="O163" i="2" s="1"/>
  <c r="P163" i="2" s="1" a="1"/>
  <c r="P163" i="2" s="1"/>
  <c r="N164" i="2" a="1"/>
  <c r="N164" i="2" s="1"/>
  <c r="O164" i="2" s="1" a="1"/>
  <c r="O164" i="2" s="1"/>
  <c r="P164" i="2" s="1" a="1"/>
  <c r="P164" i="2" s="1"/>
  <c r="N165" i="2" a="1"/>
  <c r="N165" i="2" s="1"/>
  <c r="O165" i="2" s="1" a="1"/>
  <c r="O165" i="2" s="1"/>
  <c r="P165" i="2" s="1" a="1"/>
  <c r="P165" i="2" s="1"/>
  <c r="N166" i="2" a="1"/>
  <c r="N166" i="2" s="1"/>
  <c r="O166" i="2" s="1" a="1"/>
  <c r="O166" i="2" s="1"/>
  <c r="P166" i="2" s="1" a="1"/>
  <c r="P166" i="2" s="1"/>
  <c r="N167" i="2" a="1"/>
  <c r="N167" i="2" s="1"/>
  <c r="O167" i="2" s="1" a="1"/>
  <c r="O167" i="2" s="1"/>
  <c r="P167" i="2" s="1" a="1"/>
  <c r="P167" i="2" s="1"/>
  <c r="N168" i="2" a="1"/>
  <c r="N168" i="2" s="1"/>
  <c r="O168" i="2" s="1" a="1"/>
  <c r="O168" i="2" s="1"/>
  <c r="P168" i="2" s="1" a="1"/>
  <c r="P168" i="2" s="1"/>
  <c r="N169" i="2" a="1"/>
  <c r="N169" i="2" s="1"/>
  <c r="O169" i="2" s="1" a="1"/>
  <c r="O169" i="2" s="1"/>
  <c r="P169" i="2" s="1" a="1"/>
  <c r="P169" i="2" s="1"/>
  <c r="N170" i="2" a="1"/>
  <c r="N170" i="2" s="1"/>
  <c r="O170" i="2" s="1" a="1"/>
  <c r="O170" i="2" s="1"/>
  <c r="P170" i="2" s="1" a="1"/>
  <c r="P170" i="2" s="1"/>
  <c r="N171" i="2" a="1"/>
  <c r="N171" i="2" s="1"/>
  <c r="O171" i="2" s="1" a="1"/>
  <c r="O171" i="2" s="1"/>
  <c r="P171" i="2" s="1" a="1"/>
  <c r="P171" i="2" s="1"/>
  <c r="N172" i="2" a="1"/>
  <c r="N172" i="2" s="1"/>
  <c r="O172" i="2" s="1" a="1"/>
  <c r="O172" i="2" s="1"/>
  <c r="P172" i="2" s="1" a="1"/>
  <c r="P172" i="2" s="1"/>
  <c r="N173" i="2" a="1"/>
  <c r="N173" i="2" s="1"/>
  <c r="O173" i="2" s="1" a="1"/>
  <c r="O173" i="2" s="1"/>
  <c r="P173" i="2" s="1" a="1"/>
  <c r="P173" i="2" s="1"/>
  <c r="N174" i="2" a="1"/>
  <c r="N174" i="2" s="1"/>
  <c r="O174" i="2" s="1" a="1"/>
  <c r="O174" i="2" s="1"/>
  <c r="P174" i="2" s="1" a="1"/>
  <c r="P174" i="2" s="1"/>
  <c r="N175" i="2" a="1"/>
  <c r="N175" i="2" s="1"/>
  <c r="O175" i="2" s="1" a="1"/>
  <c r="O175" i="2" s="1"/>
  <c r="P175" i="2" s="1" a="1"/>
  <c r="P175" i="2" s="1"/>
  <c r="N176" i="2" a="1"/>
  <c r="N176" i="2" s="1"/>
  <c r="O176" i="2" s="1" a="1"/>
  <c r="O176" i="2" s="1"/>
  <c r="P176" i="2" s="1" a="1"/>
  <c r="P176" i="2" s="1"/>
  <c r="N177" i="2" a="1"/>
  <c r="N177" i="2" s="1"/>
  <c r="O177" i="2" s="1" a="1"/>
  <c r="O177" i="2" s="1"/>
  <c r="P177" i="2" s="1" a="1"/>
  <c r="P177" i="2" s="1"/>
  <c r="N178" i="2" a="1"/>
  <c r="N178" i="2" s="1"/>
  <c r="O178" i="2" s="1" a="1"/>
  <c r="O178" i="2" s="1"/>
  <c r="P178" i="2" s="1" a="1"/>
  <c r="P178" i="2" s="1"/>
  <c r="N179" i="2" a="1"/>
  <c r="N179" i="2" s="1"/>
  <c r="O179" i="2" s="1" a="1"/>
  <c r="O179" i="2" s="1"/>
  <c r="P179" i="2" s="1" a="1"/>
  <c r="P179" i="2" s="1"/>
  <c r="N180" i="2" a="1"/>
  <c r="N180" i="2" s="1"/>
  <c r="O180" i="2" s="1" a="1"/>
  <c r="O180" i="2" s="1"/>
  <c r="P180" i="2" s="1" a="1"/>
  <c r="P180" i="2" s="1"/>
  <c r="N181" i="2" a="1"/>
  <c r="N181" i="2" s="1"/>
  <c r="O181" i="2" s="1" a="1"/>
  <c r="O181" i="2" s="1"/>
  <c r="P181" i="2" s="1" a="1"/>
  <c r="P181" i="2" s="1"/>
  <c r="N182" i="2" a="1"/>
  <c r="N182" i="2" s="1"/>
  <c r="O182" i="2" s="1" a="1"/>
  <c r="O182" i="2" s="1"/>
  <c r="P182" i="2" s="1" a="1"/>
  <c r="P182" i="2" s="1"/>
  <c r="N183" i="2" a="1"/>
  <c r="N183" i="2" s="1"/>
  <c r="O183" i="2" s="1" a="1"/>
  <c r="O183" i="2" s="1"/>
  <c r="P183" i="2" s="1" a="1"/>
  <c r="P183" i="2" s="1"/>
  <c r="N184" i="2" a="1"/>
  <c r="N184" i="2" s="1"/>
  <c r="O184" i="2" s="1" a="1"/>
  <c r="O184" i="2" s="1"/>
  <c r="P184" i="2" s="1" a="1"/>
  <c r="P184" i="2" s="1"/>
  <c r="N185" i="2" a="1"/>
  <c r="N185" i="2" s="1"/>
  <c r="O185" i="2" s="1" a="1"/>
  <c r="O185" i="2" s="1"/>
  <c r="P185" i="2" s="1" a="1"/>
  <c r="P185" i="2" s="1"/>
  <c r="N186" i="2" a="1"/>
  <c r="N186" i="2" s="1"/>
  <c r="O186" i="2" s="1" a="1"/>
  <c r="O186" i="2" s="1"/>
  <c r="P186" i="2" s="1" a="1"/>
  <c r="P186" i="2" s="1"/>
  <c r="N187" i="2" a="1"/>
  <c r="N187" i="2" s="1"/>
  <c r="O187" i="2" s="1" a="1"/>
  <c r="O187" i="2" s="1"/>
  <c r="P187" i="2" s="1" a="1"/>
  <c r="P187" i="2" s="1"/>
  <c r="N188" i="2" a="1"/>
  <c r="N188" i="2" s="1"/>
  <c r="O188" i="2" s="1" a="1"/>
  <c r="O188" i="2" s="1"/>
  <c r="P188" i="2" s="1" a="1"/>
  <c r="P188" i="2" s="1"/>
  <c r="N189" i="2" a="1"/>
  <c r="N189" i="2" s="1"/>
  <c r="O189" i="2" s="1" a="1"/>
  <c r="O189" i="2" s="1"/>
  <c r="P189" i="2" s="1" a="1"/>
  <c r="P189" i="2" s="1"/>
  <c r="N190" i="2" a="1"/>
  <c r="N190" i="2" s="1"/>
  <c r="O190" i="2" s="1" a="1"/>
  <c r="O190" i="2" s="1"/>
  <c r="P190" i="2" s="1" a="1"/>
  <c r="P190" i="2" s="1"/>
  <c r="N191" i="2" a="1"/>
  <c r="N191" i="2" s="1"/>
  <c r="O191" i="2" s="1" a="1"/>
  <c r="O191" i="2" s="1"/>
  <c r="P191" i="2" s="1" a="1"/>
  <c r="P191" i="2" s="1"/>
  <c r="N192" i="2" a="1"/>
  <c r="N192" i="2" s="1"/>
  <c r="O192" i="2" s="1" a="1"/>
  <c r="O192" i="2" s="1"/>
  <c r="P192" i="2" s="1" a="1"/>
  <c r="P192" i="2" s="1"/>
  <c r="N193" i="2" a="1"/>
  <c r="N193" i="2" s="1"/>
  <c r="O193" i="2" s="1" a="1"/>
  <c r="O193" i="2" s="1"/>
  <c r="P193" i="2" s="1" a="1"/>
  <c r="P193" i="2" s="1"/>
  <c r="N194" i="2" a="1"/>
  <c r="N194" i="2" s="1"/>
  <c r="O194" i="2" s="1" a="1"/>
  <c r="O194" i="2" s="1"/>
  <c r="P194" i="2" s="1" a="1"/>
  <c r="P194" i="2" s="1"/>
  <c r="N195" i="2" a="1"/>
  <c r="N195" i="2" s="1"/>
  <c r="O195" i="2" s="1" a="1"/>
  <c r="O195" i="2" s="1"/>
  <c r="P195" i="2" s="1" a="1"/>
  <c r="P195" i="2" s="1"/>
  <c r="N196" i="2" a="1"/>
  <c r="N196" i="2" s="1"/>
  <c r="O196" i="2" s="1" a="1"/>
  <c r="O196" i="2" s="1"/>
  <c r="P196" i="2" s="1" a="1"/>
  <c r="P196" i="2" s="1"/>
  <c r="N197" i="2" a="1"/>
  <c r="N197" i="2" s="1"/>
  <c r="O197" i="2" s="1" a="1"/>
  <c r="O197" i="2" s="1"/>
  <c r="P197" i="2" s="1" a="1"/>
  <c r="P197" i="2" s="1"/>
  <c r="N198" i="2" a="1"/>
  <c r="N198" i="2" s="1"/>
  <c r="O198" i="2" s="1" a="1"/>
  <c r="O198" i="2" s="1"/>
  <c r="P198" i="2" s="1" a="1"/>
  <c r="P198" i="2" s="1"/>
  <c r="N199" i="2" a="1"/>
  <c r="N199" i="2" s="1"/>
  <c r="O199" i="2" s="1" a="1"/>
  <c r="O199" i="2" s="1"/>
  <c r="P199" i="2" s="1" a="1"/>
  <c r="P199" i="2" s="1"/>
  <c r="N200" i="2" a="1"/>
  <c r="N200" i="2" s="1"/>
  <c r="O200" i="2" s="1" a="1"/>
  <c r="O200" i="2" s="1"/>
  <c r="P200" i="2" s="1" a="1"/>
  <c r="P200" i="2" s="1"/>
  <c r="N201" i="2" a="1"/>
  <c r="N201" i="2" s="1"/>
  <c r="O201" i="2" s="1" a="1"/>
  <c r="O201" i="2" s="1"/>
  <c r="P201" i="2" s="1" a="1"/>
  <c r="P201" i="2" s="1"/>
  <c r="N202" i="2" a="1"/>
  <c r="N202" i="2" s="1"/>
  <c r="O202" i="2" s="1" a="1"/>
  <c r="O202" i="2" s="1"/>
  <c r="P202" i="2" s="1" a="1"/>
  <c r="P202" i="2" s="1"/>
  <c r="N203" i="2" a="1"/>
  <c r="N203" i="2" s="1"/>
  <c r="O203" i="2" s="1" a="1"/>
  <c r="O203" i="2" s="1"/>
  <c r="P203" i="2" s="1" a="1"/>
  <c r="P203" i="2" s="1"/>
  <c r="N204" i="2" a="1"/>
  <c r="N204" i="2" s="1"/>
  <c r="O204" i="2" s="1" a="1"/>
  <c r="O204" i="2" s="1"/>
  <c r="P204" i="2" s="1" a="1"/>
  <c r="P204" i="2" s="1"/>
  <c r="N205" i="2" a="1"/>
  <c r="N205" i="2" s="1"/>
  <c r="O205" i="2" s="1" a="1"/>
  <c r="O205" i="2" s="1"/>
  <c r="P205" i="2" s="1" a="1"/>
  <c r="P205" i="2" s="1"/>
  <c r="N206" i="2" a="1"/>
  <c r="N206" i="2" s="1"/>
  <c r="O206" i="2" s="1" a="1"/>
  <c r="O206" i="2" s="1"/>
  <c r="P206" i="2" s="1" a="1"/>
  <c r="P206" i="2" s="1"/>
  <c r="N207" i="2" a="1"/>
  <c r="N207" i="2" s="1"/>
  <c r="O207" i="2" s="1" a="1"/>
  <c r="O207" i="2" s="1"/>
  <c r="P207" i="2" s="1" a="1"/>
  <c r="P207" i="2" s="1"/>
  <c r="N208" i="2" a="1"/>
  <c r="N208" i="2" s="1"/>
  <c r="O208" i="2" s="1" a="1"/>
  <c r="O208" i="2" s="1"/>
  <c r="P208" i="2" s="1" a="1"/>
  <c r="P208" i="2" s="1"/>
  <c r="C7" i="3"/>
  <c r="N4" i="6" s="1"/>
  <c r="E3" i="3" a="1"/>
  <c r="E3" i="3" s="1"/>
  <c r="C6" i="3"/>
  <c r="J4" i="6" s="1"/>
  <c r="C5" i="3"/>
  <c r="C4" i="3"/>
  <c r="B4" i="6" s="1"/>
  <c r="K8" i="2" l="1"/>
  <c r="J86" i="2" a="1"/>
  <c r="J86" i="2" s="1"/>
  <c r="J13" i="2" a="1"/>
  <c r="J13" i="2" s="1"/>
  <c r="C8" i="3"/>
  <c r="V4" i="6" s="1"/>
  <c r="J14" i="2" a="1"/>
  <c r="J14" i="2" s="1"/>
  <c r="K14" i="2"/>
  <c r="J8" i="2" a="1"/>
  <c r="J8" i="2" s="1"/>
  <c r="K140" i="2"/>
  <c r="K174" i="2"/>
  <c r="K178" i="2"/>
  <c r="K181" i="2"/>
  <c r="K185" i="2"/>
  <c r="K188" i="2"/>
  <c r="K190" i="2"/>
  <c r="K192" i="2"/>
  <c r="K194" i="2"/>
  <c r="K198" i="2"/>
  <c r="K202" i="2"/>
  <c r="K207" i="2"/>
  <c r="K131" i="2"/>
  <c r="K176" i="2"/>
  <c r="K183" i="2"/>
  <c r="K187" i="2"/>
  <c r="K189" i="2"/>
  <c r="K191" i="2"/>
  <c r="K193" i="2"/>
  <c r="K196" i="2"/>
  <c r="K200" i="2"/>
  <c r="K205" i="2"/>
  <c r="K208" i="2"/>
  <c r="K9" i="2"/>
  <c r="K10" i="2"/>
  <c r="K11" i="2"/>
  <c r="K12" i="2"/>
  <c r="K13" i="2"/>
  <c r="K15" i="2"/>
  <c r="K16" i="2"/>
  <c r="K17" i="2"/>
  <c r="K18" i="2"/>
  <c r="K19" i="2"/>
  <c r="K20" i="2"/>
  <c r="K21" i="2"/>
  <c r="K22" i="2"/>
  <c r="K23" i="2"/>
  <c r="K24" i="2"/>
  <c r="K25" i="2"/>
  <c r="K26" i="2"/>
  <c r="K27" i="2"/>
  <c r="K28" i="2"/>
  <c r="K29" i="2"/>
  <c r="K30" i="2"/>
  <c r="K31" i="2"/>
  <c r="K32" i="2"/>
  <c r="K33" i="2"/>
  <c r="K34" i="2"/>
  <c r="K35" i="2"/>
  <c r="K36" i="2"/>
  <c r="K37" i="2"/>
  <c r="K38" i="2"/>
  <c r="K39" i="2"/>
  <c r="K40" i="2"/>
  <c r="K41" i="2"/>
  <c r="K42" i="2"/>
  <c r="K43" i="2"/>
  <c r="K44" i="2"/>
  <c r="K45" i="2"/>
  <c r="K46" i="2"/>
  <c r="K47" i="2"/>
  <c r="K48" i="2"/>
  <c r="K49" i="2"/>
  <c r="K50" i="2"/>
  <c r="K51" i="2"/>
  <c r="K52" i="2"/>
  <c r="K53" i="2"/>
  <c r="K54" i="2"/>
  <c r="K55" i="2"/>
  <c r="K56" i="2"/>
  <c r="K57" i="2"/>
  <c r="K58" i="2"/>
  <c r="K59" i="2"/>
  <c r="K60" i="2"/>
  <c r="K61" i="2"/>
  <c r="K62" i="2"/>
  <c r="K63" i="2"/>
  <c r="K64" i="2"/>
  <c r="K65" i="2"/>
  <c r="K66" i="2"/>
  <c r="K67" i="2"/>
  <c r="K68" i="2"/>
  <c r="K69" i="2"/>
  <c r="K70" i="2"/>
  <c r="K71" i="2"/>
  <c r="K72" i="2"/>
  <c r="K73" i="2"/>
  <c r="K74" i="2"/>
  <c r="K75" i="2"/>
  <c r="K76" i="2"/>
  <c r="K77" i="2"/>
  <c r="K78" i="2"/>
  <c r="K79" i="2"/>
  <c r="K80" i="2"/>
  <c r="K81" i="2"/>
  <c r="K82" i="2"/>
  <c r="K83" i="2"/>
  <c r="K84" i="2"/>
  <c r="K85" i="2"/>
  <c r="K86" i="2"/>
  <c r="K87" i="2"/>
  <c r="K88" i="2"/>
  <c r="K89" i="2"/>
  <c r="K90" i="2"/>
  <c r="K91" i="2"/>
  <c r="K92" i="2"/>
  <c r="K93" i="2"/>
  <c r="K94" i="2"/>
  <c r="K95" i="2"/>
  <c r="K96" i="2"/>
  <c r="K97" i="2"/>
  <c r="K98" i="2"/>
  <c r="K99" i="2"/>
  <c r="K100" i="2"/>
  <c r="K101" i="2"/>
  <c r="K102" i="2"/>
  <c r="K103" i="2"/>
  <c r="K104" i="2"/>
  <c r="K105" i="2"/>
  <c r="K106" i="2"/>
  <c r="K107" i="2"/>
  <c r="K108" i="2"/>
  <c r="K109" i="2"/>
  <c r="K110" i="2"/>
  <c r="K111" i="2"/>
  <c r="K112" i="2"/>
  <c r="K113" i="2"/>
  <c r="K114" i="2"/>
  <c r="K115" i="2"/>
  <c r="K116" i="2"/>
  <c r="K117" i="2"/>
  <c r="K118" i="2"/>
  <c r="K119" i="2"/>
  <c r="K120" i="2"/>
  <c r="K121" i="2"/>
  <c r="K122" i="2"/>
  <c r="K123" i="2"/>
  <c r="K124" i="2"/>
  <c r="K125" i="2"/>
  <c r="K126" i="2"/>
  <c r="K127" i="2"/>
  <c r="K128" i="2"/>
  <c r="K129" i="2"/>
  <c r="K130" i="2"/>
  <c r="K132" i="2"/>
  <c r="K133" i="2"/>
  <c r="K134" i="2"/>
  <c r="K135" i="2"/>
  <c r="K136" i="2"/>
  <c r="K137" i="2"/>
  <c r="K138" i="2"/>
  <c r="K139" i="2"/>
  <c r="K141" i="2"/>
  <c r="K142" i="2"/>
  <c r="K143" i="2"/>
  <c r="K144" i="2"/>
  <c r="K145" i="2"/>
  <c r="K146" i="2"/>
  <c r="K147" i="2"/>
  <c r="K148" i="2"/>
  <c r="K149" i="2"/>
  <c r="K150" i="2"/>
  <c r="K151" i="2"/>
  <c r="K152" i="2"/>
  <c r="K153" i="2"/>
  <c r="K154" i="2"/>
  <c r="K155" i="2"/>
  <c r="K156" i="2"/>
  <c r="K157" i="2"/>
  <c r="K158" i="2"/>
  <c r="K159" i="2"/>
  <c r="K160" i="2"/>
  <c r="K161" i="2"/>
  <c r="K162" i="2"/>
  <c r="K163" i="2"/>
  <c r="K164" i="2"/>
  <c r="K165" i="2"/>
  <c r="K166" i="2"/>
  <c r="K167" i="2"/>
  <c r="K168" i="2"/>
  <c r="K169" i="2"/>
  <c r="K170" i="2"/>
  <c r="K171" i="2"/>
  <c r="K172" i="2"/>
  <c r="K173" i="2"/>
  <c r="K175" i="2"/>
  <c r="K177" i="2"/>
  <c r="K179" i="2"/>
  <c r="K180" i="2"/>
  <c r="K182" i="2"/>
  <c r="K184" i="2"/>
  <c r="K186" i="2"/>
  <c r="K195" i="2"/>
  <c r="K197" i="2"/>
  <c r="K199" i="2"/>
  <c r="K201" i="2"/>
  <c r="K203" i="2"/>
  <c r="K204" i="2"/>
  <c r="K206" i="2"/>
  <c r="J9" i="2" a="1"/>
  <c r="J9" i="2" s="1"/>
  <c r="J10" i="2" a="1"/>
  <c r="J10" i="2" s="1"/>
  <c r="J11" i="2" a="1"/>
  <c r="J11" i="2" s="1"/>
  <c r="J12" i="2" a="1"/>
  <c r="J12" i="2" s="1"/>
  <c r="J15" i="2" a="1"/>
  <c r="J15" i="2" s="1"/>
  <c r="J16" i="2" a="1"/>
  <c r="J16" i="2" s="1"/>
  <c r="J17" i="2" a="1"/>
  <c r="J17" i="2" s="1"/>
  <c r="J18" i="2" a="1"/>
  <c r="J18" i="2" s="1"/>
  <c r="J19" i="2" a="1"/>
  <c r="J19" i="2" s="1"/>
  <c r="J20" i="2" a="1"/>
  <c r="J20" i="2" s="1"/>
  <c r="J21" i="2" a="1"/>
  <c r="J21" i="2" s="1"/>
  <c r="J22" i="2" a="1"/>
  <c r="J22" i="2" s="1"/>
  <c r="J23" i="2" a="1"/>
  <c r="J23" i="2" s="1"/>
  <c r="J24" i="2" a="1"/>
  <c r="J24" i="2" s="1"/>
  <c r="J25" i="2" a="1"/>
  <c r="J25" i="2" s="1"/>
  <c r="J26" i="2" a="1"/>
  <c r="J26" i="2" s="1"/>
  <c r="J27" i="2" a="1"/>
  <c r="J27" i="2" s="1"/>
  <c r="J28" i="2" a="1"/>
  <c r="J28" i="2" s="1"/>
  <c r="J29" i="2" a="1"/>
  <c r="J29" i="2" s="1"/>
  <c r="J30" i="2" a="1"/>
  <c r="J30" i="2" s="1"/>
  <c r="J31" i="2" a="1"/>
  <c r="J31" i="2" s="1"/>
  <c r="J32" i="2" a="1"/>
  <c r="J32" i="2" s="1"/>
  <c r="J33" i="2" a="1"/>
  <c r="J33" i="2" s="1"/>
  <c r="J34" i="2" a="1"/>
  <c r="J34" i="2" s="1"/>
  <c r="J35" i="2" a="1"/>
  <c r="J35" i="2" s="1"/>
  <c r="J36" i="2" a="1"/>
  <c r="J36" i="2" s="1"/>
  <c r="J37" i="2" a="1"/>
  <c r="J37" i="2" s="1"/>
  <c r="J38" i="2" a="1"/>
  <c r="J38" i="2" s="1"/>
  <c r="J39" i="2" a="1"/>
  <c r="J39" i="2" s="1"/>
  <c r="J40" i="2" a="1"/>
  <c r="J40" i="2" s="1"/>
  <c r="J41" i="2" a="1"/>
  <c r="J41" i="2" s="1"/>
  <c r="J42" i="2" a="1"/>
  <c r="J42" i="2" s="1"/>
  <c r="J43" i="2" a="1"/>
  <c r="J43" i="2" s="1"/>
  <c r="J44" i="2" a="1"/>
  <c r="J44" i="2" s="1"/>
  <c r="J45" i="2" a="1"/>
  <c r="J45" i="2" s="1"/>
  <c r="J46" i="2" a="1"/>
  <c r="J46" i="2" s="1"/>
  <c r="J47" i="2" a="1"/>
  <c r="J47" i="2" s="1"/>
  <c r="J48" i="2" a="1"/>
  <c r="J48" i="2" s="1"/>
  <c r="J49" i="2" a="1"/>
  <c r="J49" i="2" s="1"/>
  <c r="J50" i="2" a="1"/>
  <c r="J50" i="2" s="1"/>
  <c r="J51" i="2" a="1"/>
  <c r="J51" i="2" s="1"/>
  <c r="J52" i="2" a="1"/>
  <c r="J52" i="2" s="1"/>
  <c r="J53" i="2" a="1"/>
  <c r="J53" i="2" s="1"/>
  <c r="J54" i="2" a="1"/>
  <c r="J54" i="2" s="1"/>
  <c r="J55" i="2" a="1"/>
  <c r="J55" i="2" s="1"/>
  <c r="J56" i="2" a="1"/>
  <c r="J56" i="2" s="1"/>
  <c r="J57" i="2" a="1"/>
  <c r="J57" i="2" s="1"/>
  <c r="J58" i="2" a="1"/>
  <c r="J58" i="2" s="1"/>
  <c r="J59" i="2" a="1"/>
  <c r="J59" i="2" s="1"/>
  <c r="J60" i="2" a="1"/>
  <c r="J60" i="2" s="1"/>
  <c r="J61" i="2" a="1"/>
  <c r="J61" i="2" s="1"/>
  <c r="J62" i="2" a="1"/>
  <c r="J62" i="2" s="1"/>
  <c r="J63" i="2" a="1"/>
  <c r="J63" i="2" s="1"/>
  <c r="J64" i="2" a="1"/>
  <c r="J64" i="2" s="1"/>
  <c r="J65" i="2" a="1"/>
  <c r="J65" i="2" s="1"/>
  <c r="J66" i="2" a="1"/>
  <c r="J66" i="2" s="1"/>
  <c r="J67" i="2" a="1"/>
  <c r="J67" i="2" s="1"/>
  <c r="J68" i="2" a="1"/>
  <c r="J68" i="2" s="1"/>
  <c r="J69" i="2" a="1"/>
  <c r="J69" i="2" s="1"/>
  <c r="J70" i="2" a="1"/>
  <c r="J70" i="2" s="1"/>
  <c r="J71" i="2" a="1"/>
  <c r="J71" i="2" s="1"/>
  <c r="J72" i="2" a="1"/>
  <c r="J72" i="2" s="1"/>
  <c r="J73" i="2" a="1"/>
  <c r="J73" i="2" s="1"/>
  <c r="J74" i="2" a="1"/>
  <c r="J74" i="2" s="1"/>
  <c r="J75" i="2" a="1"/>
  <c r="J75" i="2" s="1"/>
  <c r="J76" i="2" a="1"/>
  <c r="J76" i="2" s="1"/>
  <c r="J77" i="2" a="1"/>
  <c r="J77" i="2" s="1"/>
  <c r="J78" i="2" a="1"/>
  <c r="J78" i="2" s="1"/>
  <c r="J79" i="2" a="1"/>
  <c r="J79" i="2" s="1"/>
  <c r="J80" i="2" a="1"/>
  <c r="J80" i="2" s="1"/>
  <c r="J81" i="2" a="1"/>
  <c r="J81" i="2" s="1"/>
  <c r="J82" i="2" a="1"/>
  <c r="J82" i="2" s="1"/>
  <c r="J83" i="2" a="1"/>
  <c r="J83" i="2" s="1"/>
  <c r="J85" i="2" a="1"/>
  <c r="J85" i="2" s="1"/>
  <c r="J87" i="2" a="1"/>
  <c r="J87" i="2" s="1"/>
  <c r="J88" i="2" a="1"/>
  <c r="J88" i="2" s="1"/>
  <c r="J89" i="2" a="1"/>
  <c r="J89" i="2" s="1"/>
  <c r="J90" i="2" a="1"/>
  <c r="J90" i="2" s="1"/>
  <c r="J91" i="2" a="1"/>
  <c r="J91" i="2" s="1"/>
  <c r="J92" i="2" a="1"/>
  <c r="J92" i="2" s="1"/>
  <c r="J93" i="2" a="1"/>
  <c r="J93" i="2" s="1"/>
  <c r="J94" i="2" a="1"/>
  <c r="J94" i="2" s="1"/>
  <c r="J95" i="2" a="1"/>
  <c r="J95" i="2" s="1"/>
  <c r="J96" i="2" a="1"/>
  <c r="J96" i="2" s="1"/>
  <c r="J97" i="2" a="1"/>
  <c r="J97" i="2" s="1"/>
  <c r="J98" i="2" a="1"/>
  <c r="J98" i="2" s="1"/>
  <c r="J99" i="2" a="1"/>
  <c r="J99" i="2" s="1"/>
  <c r="J100" i="2" a="1"/>
  <c r="J100" i="2" s="1"/>
  <c r="J101" i="2" a="1"/>
  <c r="J101" i="2" s="1"/>
  <c r="J102" i="2" a="1"/>
  <c r="J102" i="2" s="1"/>
  <c r="J103" i="2" a="1"/>
  <c r="J103" i="2" s="1"/>
  <c r="J104" i="2" a="1"/>
  <c r="J104" i="2" s="1"/>
  <c r="J106" i="2" a="1"/>
  <c r="J106" i="2" s="1"/>
  <c r="J107" i="2" a="1"/>
  <c r="J107" i="2" s="1"/>
  <c r="J109" i="2" a="1"/>
  <c r="J109" i="2" s="1"/>
  <c r="J110" i="2" a="1"/>
  <c r="J110" i="2" s="1"/>
  <c r="J111" i="2" a="1"/>
  <c r="J111" i="2" s="1"/>
  <c r="J112" i="2" a="1"/>
  <c r="J112" i="2" s="1"/>
  <c r="J113" i="2" a="1"/>
  <c r="J113" i="2" s="1"/>
  <c r="J114" i="2" a="1"/>
  <c r="J114" i="2" s="1"/>
  <c r="J115" i="2" a="1"/>
  <c r="J115" i="2" s="1"/>
  <c r="J116" i="2" a="1"/>
  <c r="J116" i="2" s="1"/>
  <c r="J117" i="2" a="1"/>
  <c r="J117" i="2" s="1"/>
  <c r="J118" i="2" a="1"/>
  <c r="J118" i="2" s="1"/>
  <c r="J119" i="2" a="1"/>
  <c r="J119" i="2" s="1"/>
  <c r="J120" i="2" a="1"/>
  <c r="J120" i="2" s="1"/>
  <c r="J121" i="2" a="1"/>
  <c r="J121" i="2" s="1"/>
  <c r="J122" i="2" a="1"/>
  <c r="J122" i="2" s="1"/>
  <c r="J146" i="2" a="1"/>
  <c r="J146" i="2" s="1"/>
  <c r="J148" i="2" a="1"/>
  <c r="J148" i="2" s="1"/>
  <c r="J150" i="2" a="1"/>
  <c r="J150" i="2" s="1"/>
  <c r="J152" i="2" a="1"/>
  <c r="J152" i="2" s="1"/>
  <c r="J154" i="2" a="1"/>
  <c r="J154" i="2" s="1"/>
  <c r="J156" i="2" a="1"/>
  <c r="J156" i="2" s="1"/>
  <c r="J157" i="2" a="1"/>
  <c r="J157" i="2" s="1"/>
  <c r="J159" i="2" a="1"/>
  <c r="J159" i="2" s="1"/>
  <c r="J161" i="2" a="1"/>
  <c r="J161" i="2" s="1"/>
  <c r="J163" i="2" a="1"/>
  <c r="J163" i="2" s="1"/>
  <c r="J165" i="2" a="1"/>
  <c r="J165" i="2" s="1"/>
  <c r="J166" i="2" a="1"/>
  <c r="J166" i="2" s="1"/>
  <c r="J168" i="2" a="1"/>
  <c r="J168" i="2" s="1"/>
  <c r="J170" i="2" a="1"/>
  <c r="J170" i="2" s="1"/>
  <c r="J172" i="2" a="1"/>
  <c r="J172" i="2" s="1"/>
  <c r="J174" i="2" a="1"/>
  <c r="J174" i="2" s="1"/>
  <c r="J176" i="2" a="1"/>
  <c r="J176" i="2" s="1"/>
  <c r="J177" i="2" a="1"/>
  <c r="J177" i="2" s="1"/>
  <c r="J179" i="2" a="1"/>
  <c r="J179" i="2" s="1"/>
  <c r="J181" i="2" a="1"/>
  <c r="J181" i="2" s="1"/>
  <c r="J183" i="2" a="1"/>
  <c r="J183" i="2" s="1"/>
  <c r="J184" i="2" a="1"/>
  <c r="J184" i="2" s="1"/>
  <c r="J185" i="2" a="1"/>
  <c r="J185" i="2" s="1"/>
  <c r="J123" i="2" a="1"/>
  <c r="J123" i="2" s="1"/>
  <c r="J124" i="2" a="1"/>
  <c r="J124" i="2" s="1"/>
  <c r="J125" i="2" a="1"/>
  <c r="J125" i="2" s="1"/>
  <c r="J126" i="2" a="1"/>
  <c r="J126" i="2" s="1"/>
  <c r="J127" i="2" a="1"/>
  <c r="J127" i="2" s="1"/>
  <c r="J128" i="2" a="1"/>
  <c r="J128" i="2" s="1"/>
  <c r="J129" i="2" a="1"/>
  <c r="J129" i="2" s="1"/>
  <c r="J130" i="2" a="1"/>
  <c r="J130" i="2" s="1"/>
  <c r="J131" i="2" a="1"/>
  <c r="J131" i="2" s="1"/>
  <c r="J132" i="2" a="1"/>
  <c r="J132" i="2" s="1"/>
  <c r="J133" i="2" a="1"/>
  <c r="J133" i="2" s="1"/>
  <c r="J134" i="2" a="1"/>
  <c r="J134" i="2" s="1"/>
  <c r="J135" i="2" a="1"/>
  <c r="J135" i="2" s="1"/>
  <c r="J136" i="2" a="1"/>
  <c r="J136" i="2" s="1"/>
  <c r="J137" i="2" a="1"/>
  <c r="J137" i="2" s="1"/>
  <c r="J138" i="2" a="1"/>
  <c r="J138" i="2" s="1"/>
  <c r="J139" i="2" a="1"/>
  <c r="J139" i="2" s="1"/>
  <c r="J140" i="2" a="1"/>
  <c r="J140" i="2" s="1"/>
  <c r="J141" i="2" a="1"/>
  <c r="J141" i="2" s="1"/>
  <c r="J142" i="2" a="1"/>
  <c r="J142" i="2" s="1"/>
  <c r="J143" i="2" a="1"/>
  <c r="J143" i="2" s="1"/>
  <c r="J144" i="2" a="1"/>
  <c r="J144" i="2" s="1"/>
  <c r="J145" i="2" a="1"/>
  <c r="J145" i="2" s="1"/>
  <c r="J147" i="2" a="1"/>
  <c r="J147" i="2" s="1"/>
  <c r="J149" i="2" a="1"/>
  <c r="J149" i="2" s="1"/>
  <c r="J151" i="2" a="1"/>
  <c r="J151" i="2" s="1"/>
  <c r="J153" i="2" a="1"/>
  <c r="J153" i="2" s="1"/>
  <c r="J155" i="2" a="1"/>
  <c r="J155" i="2" s="1"/>
  <c r="J158" i="2" a="1"/>
  <c r="J158" i="2" s="1"/>
  <c r="J160" i="2" a="1"/>
  <c r="J160" i="2" s="1"/>
  <c r="J162" i="2" a="1"/>
  <c r="J162" i="2" s="1"/>
  <c r="J164" i="2" a="1"/>
  <c r="J164" i="2" s="1"/>
  <c r="J167" i="2" a="1"/>
  <c r="J167" i="2" s="1"/>
  <c r="J169" i="2" a="1"/>
  <c r="J169" i="2" s="1"/>
  <c r="J171" i="2" a="1"/>
  <c r="J171" i="2" s="1"/>
  <c r="J173" i="2" a="1"/>
  <c r="J173" i="2" s="1"/>
  <c r="J175" i="2" a="1"/>
  <c r="J175" i="2" s="1"/>
  <c r="J178" i="2" a="1"/>
  <c r="J178" i="2" s="1"/>
  <c r="J180" i="2" a="1"/>
  <c r="J180" i="2" s="1"/>
  <c r="J182" i="2" a="1"/>
  <c r="J182" i="2" s="1"/>
  <c r="J84" i="2" a="1"/>
  <c r="J84" i="2" s="1"/>
  <c r="J105" i="2" a="1"/>
  <c r="J105" i="2" s="1"/>
  <c r="J108" i="2" a="1"/>
  <c r="J108" i="2" s="1"/>
  <c r="J188" i="2" a="1"/>
  <c r="J188" i="2" s="1"/>
  <c r="J187" i="2" a="1"/>
  <c r="J187" i="2" s="1"/>
  <c r="J186" i="2" a="1"/>
  <c r="J186" i="2" s="1"/>
  <c r="J190" i="2" a="1"/>
  <c r="J190" i="2" s="1"/>
  <c r="J194" i="2" a="1"/>
  <c r="J194" i="2" s="1"/>
  <c r="J195" i="2" a="1"/>
  <c r="J195" i="2" s="1"/>
  <c r="J196" i="2" a="1"/>
  <c r="J196" i="2" s="1"/>
  <c r="J191" i="2" a="1"/>
  <c r="J191" i="2" s="1"/>
  <c r="J197" i="2" a="1"/>
  <c r="J197" i="2" s="1"/>
  <c r="J198" i="2" a="1"/>
  <c r="J198" i="2" s="1"/>
  <c r="J192" i="2" a="1"/>
  <c r="J192" i="2" s="1"/>
  <c r="J200" i="2" a="1"/>
  <c r="J200" i="2" s="1"/>
  <c r="J202" i="2" a="1"/>
  <c r="J202" i="2" s="1"/>
  <c r="J193" i="2" a="1"/>
  <c r="J193" i="2" s="1"/>
  <c r="J201" i="2" a="1"/>
  <c r="J201" i="2" s="1"/>
  <c r="J203" i="2" a="1"/>
  <c r="J203" i="2" s="1"/>
  <c r="J189" i="2" a="1"/>
  <c r="J189" i="2" s="1"/>
  <c r="J204" i="2" a="1"/>
  <c r="J204" i="2" s="1"/>
  <c r="J205" i="2" a="1"/>
  <c r="J205" i="2" s="1"/>
  <c r="J206" i="2" a="1"/>
  <c r="J206" i="2" s="1"/>
  <c r="J207" i="2" a="1"/>
  <c r="J207" i="2" s="1"/>
  <c r="J208" i="2" a="1"/>
  <c r="J208" i="2" s="1"/>
  <c r="J199" i="2" a="1"/>
  <c r="J199" i="2" s="1"/>
  <c r="F4" i="6"/>
  <c r="E8" i="3" l="1"/>
  <c r="N29" i="6" s="1"/>
  <c r="C9" i="3"/>
  <c r="R4" i="6" s="1"/>
  <c r="E9" i="3" l="1"/>
  <c r="N31" i="6"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587C41DE-E4AB-4980-9B89-EB4100F9A459}" keepAlive="1" name="Query - insurance_project" description="Connection to the 'insurance_project' query in the workbook." type="5" refreshedVersion="0" background="1">
    <dbPr connection="Provider=Microsoft.Mashup.OleDb.1;Data Source=$Workbook$;Location=insurance_project;Extended Properties=&quot;&quot;" command="SELECT * FROM [insurance_project]"/>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<sst xmlns="http://schemas.openxmlformats.org/spreadsheetml/2006/main" count="1274" uniqueCount="282">
  <si>
    <t>Province</t>
  </si>
  <si>
    <t>Industry</t>
  </si>
  <si>
    <t>Premium</t>
  </si>
  <si>
    <t xml:space="preserve">Risk Level </t>
  </si>
  <si>
    <t>Policy ID</t>
  </si>
  <si>
    <t>Client Name</t>
  </si>
  <si>
    <t>Policy Type</t>
  </si>
  <si>
    <t>Start Date</t>
  </si>
  <si>
    <t>End Date</t>
  </si>
  <si>
    <t>Coverage Limit</t>
  </si>
  <si>
    <t>Claims Count</t>
  </si>
  <si>
    <t>Low</t>
  </si>
  <si>
    <t xml:space="preserve">Policy Status </t>
  </si>
  <si>
    <t>P1001</t>
  </si>
  <si>
    <t>EverGreen Foods</t>
  </si>
  <si>
    <t>BC</t>
  </si>
  <si>
    <t>Healthcare</t>
  </si>
  <si>
    <t>Liability</t>
  </si>
  <si>
    <t>High</t>
  </si>
  <si>
    <t>P1002</t>
  </si>
  <si>
    <t>SilverLine Transport</t>
  </si>
  <si>
    <t>AB</t>
  </si>
  <si>
    <t>Construction</t>
  </si>
  <si>
    <t>Auto</t>
  </si>
  <si>
    <t>P1003</t>
  </si>
  <si>
    <t>FreshMart Distribution</t>
  </si>
  <si>
    <t>Retail</t>
  </si>
  <si>
    <t>Product Liability</t>
  </si>
  <si>
    <t>P1004</t>
  </si>
  <si>
    <t>Vertex Health Systems</t>
  </si>
  <si>
    <t>ON</t>
  </si>
  <si>
    <t>Energy</t>
  </si>
  <si>
    <t>P1005</t>
  </si>
  <si>
    <t>IronGate Manufacturing</t>
  </si>
  <si>
    <t>Engineering</t>
  </si>
  <si>
    <t>P1006</t>
  </si>
  <si>
    <t>UrbanBuild Contractors</t>
  </si>
  <si>
    <t>MB</t>
  </si>
  <si>
    <t>Manufacturing</t>
  </si>
  <si>
    <t>Property</t>
  </si>
  <si>
    <t>P1007</t>
  </si>
  <si>
    <t>Hospitality</t>
  </si>
  <si>
    <t>P1008</t>
  </si>
  <si>
    <t>BlueSky Developers</t>
  </si>
  <si>
    <t>P1009</t>
  </si>
  <si>
    <t>ClearWater Utilities</t>
  </si>
  <si>
    <t>Medium</t>
  </si>
  <si>
    <t>P1010</t>
  </si>
  <si>
    <t>Agriculture</t>
  </si>
  <si>
    <t>Marine</t>
  </si>
  <si>
    <t>P1011</t>
  </si>
  <si>
    <t>NorthStar Builders</t>
  </si>
  <si>
    <t>P1012</t>
  </si>
  <si>
    <t>NorthPeak Engineering</t>
  </si>
  <si>
    <t>Transportation</t>
  </si>
  <si>
    <t>P1013</t>
  </si>
  <si>
    <t>Sunrise Farms</t>
  </si>
  <si>
    <t>Technology</t>
  </si>
  <si>
    <t>P1014</t>
  </si>
  <si>
    <t>UrbanCare Clinics</t>
  </si>
  <si>
    <t>P1015</t>
  </si>
  <si>
    <t>P1016</t>
  </si>
  <si>
    <t>P1017</t>
  </si>
  <si>
    <t>Metro Auto Repairs</t>
  </si>
  <si>
    <t>P1018</t>
  </si>
  <si>
    <t>P1019</t>
  </si>
  <si>
    <t>P1020</t>
  </si>
  <si>
    <t>P1021</t>
  </si>
  <si>
    <t>P1022</t>
  </si>
  <si>
    <t>P1023</t>
  </si>
  <si>
    <t>P1024</t>
  </si>
  <si>
    <t>P1025</t>
  </si>
  <si>
    <t>P1026</t>
  </si>
  <si>
    <t>OceanView Hotels</t>
  </si>
  <si>
    <t>P1027</t>
  </si>
  <si>
    <t>TrueNorth Logistics</t>
  </si>
  <si>
    <t>P1028</t>
  </si>
  <si>
    <t>Peak Energy Systems</t>
  </si>
  <si>
    <t>P1029</t>
  </si>
  <si>
    <t>P1030</t>
  </si>
  <si>
    <t>P1031</t>
  </si>
  <si>
    <t>P1032</t>
  </si>
  <si>
    <t>P1033</t>
  </si>
  <si>
    <t>P1034</t>
  </si>
  <si>
    <t>P1035</t>
  </si>
  <si>
    <t>Coastal Shipping Ltd</t>
  </si>
  <si>
    <t>P1036</t>
  </si>
  <si>
    <t>P1037</t>
  </si>
  <si>
    <t>P1038</t>
  </si>
  <si>
    <t>P1039</t>
  </si>
  <si>
    <t>P1040</t>
  </si>
  <si>
    <t>P1041</t>
  </si>
  <si>
    <t>P1042</t>
  </si>
  <si>
    <t>P1043</t>
  </si>
  <si>
    <t>P1044</t>
  </si>
  <si>
    <t>P1045</t>
  </si>
  <si>
    <t>P1046</t>
  </si>
  <si>
    <t>P1047</t>
  </si>
  <si>
    <t>P1048</t>
  </si>
  <si>
    <t>P1049</t>
  </si>
  <si>
    <t>P1050</t>
  </si>
  <si>
    <t>MapleTech Solutions</t>
  </si>
  <si>
    <t>P1051</t>
  </si>
  <si>
    <t>QuickCart Grocery</t>
  </si>
  <si>
    <t>P1052</t>
  </si>
  <si>
    <t>P1053</t>
  </si>
  <si>
    <t>P1054</t>
  </si>
  <si>
    <t>P1055</t>
  </si>
  <si>
    <t>P1056</t>
  </si>
  <si>
    <t>P1057</t>
  </si>
  <si>
    <t>P1058</t>
  </si>
  <si>
    <t>P1059</t>
  </si>
  <si>
    <t>P1060</t>
  </si>
  <si>
    <t>P1061</t>
  </si>
  <si>
    <t>P1062</t>
  </si>
  <si>
    <t>P1063</t>
  </si>
  <si>
    <t>P1064</t>
  </si>
  <si>
    <t>P1065</t>
  </si>
  <si>
    <t>P1066</t>
  </si>
  <si>
    <t>P1067</t>
  </si>
  <si>
    <t>P1068</t>
  </si>
  <si>
    <t>P1069</t>
  </si>
  <si>
    <t>P1070</t>
  </si>
  <si>
    <t>P1071</t>
  </si>
  <si>
    <t>P1072</t>
  </si>
  <si>
    <t>P1073</t>
  </si>
  <si>
    <t>P1074</t>
  </si>
  <si>
    <t>P1075</t>
  </si>
  <si>
    <t>P1076</t>
  </si>
  <si>
    <t>P1077</t>
  </si>
  <si>
    <t>P1078</t>
  </si>
  <si>
    <t>P1079</t>
  </si>
  <si>
    <t>P1080</t>
  </si>
  <si>
    <t>P1081</t>
  </si>
  <si>
    <t>P1082</t>
  </si>
  <si>
    <t>P1083</t>
  </si>
  <si>
    <t>P1084</t>
  </si>
  <si>
    <t>P1085</t>
  </si>
  <si>
    <t>P1086</t>
  </si>
  <si>
    <t>P1087</t>
  </si>
  <si>
    <t>P1088</t>
  </si>
  <si>
    <t>P1089</t>
  </si>
  <si>
    <t>P1090</t>
  </si>
  <si>
    <t>P1091</t>
  </si>
  <si>
    <t>P1092</t>
  </si>
  <si>
    <t>GreenLeaf Retail</t>
  </si>
  <si>
    <t>P1093</t>
  </si>
  <si>
    <t>P1094</t>
  </si>
  <si>
    <t>P1095</t>
  </si>
  <si>
    <t>P1096</t>
  </si>
  <si>
    <t>P1097</t>
  </si>
  <si>
    <t>P1098</t>
  </si>
  <si>
    <t>P1099</t>
  </si>
  <si>
    <t>P1100</t>
  </si>
  <si>
    <t>P1101</t>
  </si>
  <si>
    <t>P1102</t>
  </si>
  <si>
    <t>P1103</t>
  </si>
  <si>
    <t>P1104</t>
  </si>
  <si>
    <t>P1105</t>
  </si>
  <si>
    <t>P1106</t>
  </si>
  <si>
    <t>P1107</t>
  </si>
  <si>
    <t>P1108</t>
  </si>
  <si>
    <t>P1109</t>
  </si>
  <si>
    <t>P1110</t>
  </si>
  <si>
    <t>P1111</t>
  </si>
  <si>
    <t>P1112</t>
  </si>
  <si>
    <t>P1113</t>
  </si>
  <si>
    <t>P1114</t>
  </si>
  <si>
    <t>P1115</t>
  </si>
  <si>
    <t>P1116</t>
  </si>
  <si>
    <t>P1117</t>
  </si>
  <si>
    <t>P1118</t>
  </si>
  <si>
    <t>P1119</t>
  </si>
  <si>
    <t>P1120</t>
  </si>
  <si>
    <t>P1121</t>
  </si>
  <si>
    <t>P1122</t>
  </si>
  <si>
    <t>P1123</t>
  </si>
  <si>
    <t>P1124</t>
  </si>
  <si>
    <t>P1125</t>
  </si>
  <si>
    <t>P1126</t>
  </si>
  <si>
    <t>P1127</t>
  </si>
  <si>
    <t>P1128</t>
  </si>
  <si>
    <t>P1129</t>
  </si>
  <si>
    <t>P1130</t>
  </si>
  <si>
    <t>P1131</t>
  </si>
  <si>
    <t>P1132</t>
  </si>
  <si>
    <t>P1133</t>
  </si>
  <si>
    <t>P1134</t>
  </si>
  <si>
    <t>P1135</t>
  </si>
  <si>
    <t>P1136</t>
  </si>
  <si>
    <t>P1137</t>
  </si>
  <si>
    <t>P1138</t>
  </si>
  <si>
    <t>P1139</t>
  </si>
  <si>
    <t>P1140</t>
  </si>
  <si>
    <t>P1141</t>
  </si>
  <si>
    <t>P1142</t>
  </si>
  <si>
    <t>P1143</t>
  </si>
  <si>
    <t>P1144</t>
  </si>
  <si>
    <t>P1145</t>
  </si>
  <si>
    <t>P1146</t>
  </si>
  <si>
    <t>P1147</t>
  </si>
  <si>
    <t>P1148</t>
  </si>
  <si>
    <t>P1149</t>
  </si>
  <si>
    <t>P1150</t>
  </si>
  <si>
    <t>P1151</t>
  </si>
  <si>
    <t>P1152</t>
  </si>
  <si>
    <t>P1153</t>
  </si>
  <si>
    <t>P1154</t>
  </si>
  <si>
    <t>P1155</t>
  </si>
  <si>
    <t>P1156</t>
  </si>
  <si>
    <t>P1157</t>
  </si>
  <si>
    <t>P1158</t>
  </si>
  <si>
    <t>P1159</t>
  </si>
  <si>
    <t>P1160</t>
  </si>
  <si>
    <t>P1161</t>
  </si>
  <si>
    <t>P1162</t>
  </si>
  <si>
    <t>P1163</t>
  </si>
  <si>
    <t>P1164</t>
  </si>
  <si>
    <t>P1165</t>
  </si>
  <si>
    <t>P1166</t>
  </si>
  <si>
    <t>P1167</t>
  </si>
  <si>
    <t>P1168</t>
  </si>
  <si>
    <t>P1169</t>
  </si>
  <si>
    <t>P1170</t>
  </si>
  <si>
    <t>P1171</t>
  </si>
  <si>
    <t>P1172</t>
  </si>
  <si>
    <t>P1173</t>
  </si>
  <si>
    <t>P1174</t>
  </si>
  <si>
    <t>P1175</t>
  </si>
  <si>
    <t>P1176</t>
  </si>
  <si>
    <t>P1177</t>
  </si>
  <si>
    <t>P1178</t>
  </si>
  <si>
    <t>P1179</t>
  </si>
  <si>
    <t>P1180</t>
  </si>
  <si>
    <t>P1181</t>
  </si>
  <si>
    <t>P1182</t>
  </si>
  <si>
    <t>P1183</t>
  </si>
  <si>
    <t>P1184</t>
  </si>
  <si>
    <t>P1185</t>
  </si>
  <si>
    <t>P1186</t>
  </si>
  <si>
    <t>P1187</t>
  </si>
  <si>
    <t>P1188</t>
  </si>
  <si>
    <t>P1189</t>
  </si>
  <si>
    <t>P1190</t>
  </si>
  <si>
    <t>P1191</t>
  </si>
  <si>
    <t>P1192</t>
  </si>
  <si>
    <t>P1193</t>
  </si>
  <si>
    <t>P1194</t>
  </si>
  <si>
    <t>P1195</t>
  </si>
  <si>
    <t>P1196</t>
  </si>
  <si>
    <t>P1197</t>
  </si>
  <si>
    <t>P1198</t>
  </si>
  <si>
    <t>P1199</t>
  </si>
  <si>
    <t>P1200</t>
  </si>
  <si>
    <t>Days Until Expiry</t>
  </si>
  <si>
    <t>Total Policies</t>
  </si>
  <si>
    <t>Total Premium</t>
  </si>
  <si>
    <t>Average Premium</t>
  </si>
  <si>
    <t>Total Claims</t>
  </si>
  <si>
    <t xml:space="preserve">Value </t>
  </si>
  <si>
    <t>Key Performance Indicator (KPI)</t>
  </si>
  <si>
    <t>Expiring Policies (within 30 days)</t>
  </si>
  <si>
    <t>Grand Total</t>
  </si>
  <si>
    <t xml:space="preserve">Province </t>
  </si>
  <si>
    <t xml:space="preserve">Total Claims </t>
  </si>
  <si>
    <t xml:space="preserve">Total Policy Count </t>
  </si>
  <si>
    <t xml:space="preserve">TOTAL POLICIES 
</t>
  </si>
  <si>
    <t xml:space="preserve">TOTAL PREMIUM </t>
  </si>
  <si>
    <t xml:space="preserve">TOTAL CLAIMS </t>
  </si>
  <si>
    <t xml:space="preserve">AVERAGE PREMIUM
</t>
  </si>
  <si>
    <t xml:space="preserve">unique risk levels </t>
  </si>
  <si>
    <t>% of portfolio</t>
  </si>
  <si>
    <t xml:space="preserve">Final Risk Score </t>
  </si>
  <si>
    <t xml:space="preserve"> Claims Frequency </t>
  </si>
  <si>
    <t>High-Concern Policies</t>
  </si>
  <si>
    <t>Final Risk Level</t>
  </si>
  <si>
    <r>
      <rPr>
        <b/>
        <u/>
        <sz val="16"/>
        <rFont val="Aptos Narrow"/>
        <family val="2"/>
        <scheme val="minor"/>
      </rPr>
      <t>Final</t>
    </r>
    <r>
      <rPr>
        <b/>
        <sz val="16"/>
        <rFont val="Aptos Narrow"/>
        <family val="2"/>
        <scheme val="minor"/>
      </rPr>
      <t xml:space="preserve"> Risk Level</t>
    </r>
  </si>
  <si>
    <t xml:space="preserve">POLICIES EXPIRING SOON (WITHIN 30 DAYS)
</t>
  </si>
  <si>
    <t>Number of Policies</t>
  </si>
  <si>
    <t xml:space="preserve">(FINAL) HIGH-RISK POLICIES </t>
  </si>
  <si>
    <t xml:space="preserve">Today's Date </t>
  </si>
  <si>
    <t>P1201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</si>
</sst>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44" formatCode="_(&quot;$&quot;* #,##0.00_);_(&quot;$&quot;* \(#,##0.00\);_(&quot;$&quot;* &quot;-&quot;??_);_(@_)"/>
    <numFmt numFmtId="43" formatCode="_(* #,##0.00_);_(* \(#,##0.00\);_(* &quot;-&quot;??_);_(@_)"/>
    <numFmt numFmtId="164" formatCode="&quot;$&quot;#,##0.00"/>
  </numFmts>
  <fonts count="14" x14ac:knownFonts="1">
    <font>
      <sz val="11"/>
      <color theme="1"/>
      <name val="Aptos Narrow"/>
      <family val="2"/>
      <scheme val="minor"/>
    </font>
    <font>
      <sz val="11"/>
      <color theme="1"/>
      <name val="Aptos Narrow"/>
      <family val="2"/>
      <scheme val="minor"/>
    </font>
    <font>
      <b/>
      <sz val="11"/>
      <color theme="1"/>
      <name val="Aptos Narrow"/>
      <family val="2"/>
      <scheme val="minor"/>
    </font>
    <font>
      <sz val="8"/>
      <name val="Aptos Narrow"/>
      <family val="2"/>
      <scheme val="minor"/>
    </font>
    <font>
      <u/>
      <sz val="11"/>
      <color theme="1"/>
      <name val="Aptos Narrow"/>
      <family val="2"/>
      <scheme val="minor"/>
    </font>
    <font>
      <b/>
      <sz val="16"/>
      <color theme="1"/>
      <name val="Aptos Narrow"/>
      <family val="2"/>
      <scheme val="minor"/>
    </font>
    <font>
      <sz val="11"/>
      <color theme="9" tint="-0.499984740745262"/>
      <name val="Aptos Narrow"/>
      <family val="2"/>
      <scheme val="minor"/>
    </font>
    <font>
      <sz val="11"/>
      <name val="Aptos Narrow"/>
      <family val="2"/>
      <scheme val="minor"/>
    </font>
    <font>
      <b/>
      <sz val="22"/>
      <color theme="1"/>
      <name val="Aptos Narrow"/>
      <family val="2"/>
      <scheme val="minor"/>
    </font>
    <font>
      <b/>
      <sz val="11"/>
      <name val="Aptos Narrow"/>
      <family val="2"/>
      <scheme val="minor"/>
    </font>
    <font>
      <b/>
      <sz val="16"/>
      <name val="Aptos Narrow"/>
      <family val="2"/>
      <scheme val="minor"/>
    </font>
    <font>
      <b/>
      <u/>
      <sz val="16"/>
      <name val="Aptos Narrow"/>
      <family val="2"/>
      <scheme val="minor"/>
    </font>
    <font>
      <b/>
      <u/>
      <sz val="11"/>
      <color theme="1"/>
      <name val="Aptos Narrow"/>
      <family val="2"/>
      <scheme val="minor"/>
    </font>
    <font>
      <sz val="11"/>
      <color theme="0"/>
      <name val="Aptos Narrow"/>
      <family val="2"/>
      <scheme val="minor"/>
    </font>
  </fonts>
  <fills count="6">
    <fill>
      <patternFill patternType="none"/>
    </fill>
    <fill>
      <patternFill patternType="gray125"/>
    </fill>
    <fill>
      <patternFill patternType="solid">
        <fgColor theme="4" tint="0.59999389629810485"/>
        <bgColor indexed="64"/>
      </patternFill>
    </fill>
    <fill>
      <patternFill patternType="solid">
        <fgColor theme="4" tint="0.79998168889431442"/>
        <bgColor indexed="64"/>
      </patternFill>
    </fill>
    <fill>
      <patternFill patternType="solid">
        <fgColor theme="7" tint="0.79998168889431442"/>
        <bgColor indexed="64"/>
      </patternFill>
    </fill>
    <fill>
      <patternFill patternType="solid">
        <fgColor theme="1"/>
        <bgColor indexed="64"/>
      </patternFill>
    </fill>
  </fills>
  <borders count="23">
    <border>
      <left/>
      <right/>
      <top/>
      <bottom/>
      <diagonal/>
    </border>
    <border>
      <left style="medium">
        <color indexed="64"/>
      </left>
      <right/>
      <top style="medium">
        <color indexed="64"/>
      </top>
      <bottom/>
      <diagonal/>
    </border>
    <border>
      <left style="medium">
        <color indexed="64"/>
      </left>
      <right/>
      <top/>
      <bottom/>
      <diagonal/>
    </border>
    <border>
      <left/>
      <right style="medium">
        <color indexed="64"/>
      </right>
      <top/>
      <bottom style="medium">
        <color indexed="64"/>
      </bottom>
      <diagonal/>
    </border>
    <border>
      <left style="medium">
        <color theme="1" tint="0.499984740745262"/>
      </left>
      <right/>
      <top style="medium">
        <color theme="1" tint="0.499984740745262"/>
      </top>
      <bottom/>
      <diagonal/>
    </border>
    <border>
      <left/>
      <right/>
      <top style="medium">
        <color theme="1" tint="0.499984740745262"/>
      </top>
      <bottom/>
      <diagonal/>
    </border>
    <border>
      <left/>
      <right style="medium">
        <color theme="1" tint="0.499984740745262"/>
      </right>
      <top style="medium">
        <color theme="1" tint="0.499984740745262"/>
      </top>
      <bottom/>
      <diagonal/>
    </border>
    <border>
      <left style="medium">
        <color theme="1" tint="0.499984740745262"/>
      </left>
      <right/>
      <top/>
      <bottom/>
      <diagonal/>
    </border>
    <border>
      <left/>
      <right style="medium">
        <color theme="1" tint="0.499984740745262"/>
      </right>
      <top/>
      <bottom/>
      <diagonal/>
    </border>
    <border>
      <left style="medium">
        <color theme="1" tint="0.499984740745262"/>
      </left>
      <right/>
      <top/>
      <bottom style="medium">
        <color theme="1" tint="0.499984740745262"/>
      </bottom>
      <diagonal/>
    </border>
    <border>
      <left/>
      <right/>
      <top/>
      <bottom style="medium">
        <color theme="1" tint="0.499984740745262"/>
      </bottom>
      <diagonal/>
    </border>
    <border>
      <left/>
      <right style="medium">
        <color theme="1" tint="0.499984740745262"/>
      </right>
      <top/>
      <bottom style="medium">
        <color theme="1" tint="0.499984740745262"/>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thin">
        <color indexed="64"/>
      </left>
      <right style="medium">
        <color indexed="64"/>
      </right>
      <top style="medium">
        <color indexed="64"/>
      </top>
      <bottom/>
      <diagonal/>
    </border>
    <border>
      <left style="thin">
        <color indexed="64"/>
      </left>
      <right style="medium">
        <color indexed="64"/>
      </right>
      <top/>
      <bottom/>
      <diagonal/>
    </border>
    <border>
      <left/>
      <right/>
      <top/>
      <bottom style="medium">
        <color indexed="64"/>
      </bottom>
      <diagonal/>
    </border>
    <border>
      <left/>
      <right style="medium">
        <color indexed="64"/>
      </right>
      <top style="medium">
        <color indexed="64"/>
      </top>
      <bottom style="thin">
        <color indexed="64"/>
      </bottom>
      <diagonal/>
    </border>
    <border>
      <left/>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s>
  <cellStyleXfs count="2">
    <xf numFmtId="0" fontId="0" fillId="0" borderId="0"/>
    <xf numFmtId="43" fontId="1" fillId="0" borderId="0" applyFont="0" applyFill="0" applyBorder="0" applyAlignment="0" applyProtection="0"/>
  </cellStyleXfs>
  <cellXfs count="72">
    <xf numFmtId="0" fontId="0" fillId="0" borderId="0" xfId="0"/>
    <xf numFmtId="14" fontId="0" fillId="0" borderId="0" xfId="0" applyNumberFormat="1"/>
    <xf numFmtId="0" fontId="4" fillId="0" borderId="0" xfId="0" applyFont="1"/>
    <xf numFmtId="49" fontId="0" fillId="0" borderId="0" xfId="0" applyNumberFormat="1"/>
    <xf numFmtId="164" fontId="0" fillId="0" borderId="0" xfId="0" applyNumberFormat="1"/>
    <xf numFmtId="164" fontId="0" fillId="0" borderId="0" xfId="1" applyNumberFormat="1" applyFont="1"/>
    <xf numFmtId="1" fontId="0" fillId="0" borderId="0" xfId="0" applyNumberFormat="1"/>
    <xf numFmtId="0" fontId="0" fillId="0" borderId="0" xfId="0" applyAlignment="1">
      <alignment horizontal="right"/>
    </xf>
    <xf numFmtId="1" fontId="0" fillId="0" borderId="0" xfId="0" applyNumberFormat="1" applyAlignment="1">
      <alignment horizontal="right"/>
    </xf>
    <xf numFmtId="0" fontId="0" fillId="0" borderId="0" xfId="0" applyAlignment="1">
      <alignment horizontal="left"/>
    </xf>
    <xf numFmtId="1" fontId="0" fillId="0" borderId="0" xfId="0" applyNumberFormat="1" applyAlignment="1">
      <alignment horizontal="left"/>
    </xf>
    <xf numFmtId="0" fontId="0" fillId="0" borderId="2" xfId="0" applyBorder="1"/>
    <xf numFmtId="0" fontId="0" fillId="0" borderId="3" xfId="0" applyBorder="1"/>
    <xf numFmtId="49" fontId="0" fillId="0" borderId="0" xfId="0" applyNumberFormat="1" applyAlignment="1">
      <alignment horizontal="left"/>
    </xf>
    <xf numFmtId="49" fontId="0" fillId="0" borderId="0" xfId="0" applyNumberFormat="1" applyAlignment="1">
      <alignment horizontal="right"/>
    </xf>
    <xf numFmtId="49" fontId="5" fillId="2" borderId="0" xfId="0" applyNumberFormat="1" applyFont="1" applyFill="1" applyAlignment="1">
      <alignment horizontal="left" wrapText="1"/>
    </xf>
    <xf numFmtId="0" fontId="5" fillId="2" borderId="0" xfId="0" applyFont="1" applyFill="1" applyAlignment="1">
      <alignment horizontal="left" wrapText="1"/>
    </xf>
    <xf numFmtId="1" fontId="5" fillId="2" borderId="0" xfId="0" applyNumberFormat="1" applyFont="1" applyFill="1" applyAlignment="1">
      <alignment horizontal="left" wrapText="1"/>
    </xf>
    <xf numFmtId="0" fontId="0" fillId="0" borderId="0" xfId="0" pivotButton="1"/>
    <xf numFmtId="0" fontId="0" fillId="0" borderId="0" xfId="0" applyAlignment="1">
      <alignment vertical="top"/>
    </xf>
    <xf numFmtId="0" fontId="10" fillId="2" borderId="0" xfId="0" applyFont="1" applyFill="1" applyAlignment="1">
      <alignment horizontal="left" wrapText="1"/>
    </xf>
    <xf numFmtId="0" fontId="7" fillId="0" borderId="0" xfId="0" applyFont="1" applyAlignment="1">
      <alignment horizontal="right"/>
    </xf>
    <xf numFmtId="14" fontId="0" fillId="0" borderId="0" xfId="0" applyNumberFormat="1" applyAlignment="1">
      <alignment horizontal="left"/>
    </xf>
    <xf numFmtId="49" fontId="0" fillId="0" borderId="0" xfId="0" applyNumberFormat="1" applyAlignment="1">
      <alignment horizontal="left" wrapText="1"/>
    </xf>
    <xf numFmtId="0" fontId="7" fillId="0" borderId="0" xfId="0" applyFont="1" applyAlignment="1">
      <alignment horizontal="left"/>
    </xf>
    <xf numFmtId="1" fontId="6" fillId="0" borderId="0" xfId="0" applyNumberFormat="1" applyFont="1" applyAlignment="1">
      <alignment horizontal="left"/>
    </xf>
    <xf numFmtId="0" fontId="6" fillId="0" borderId="0" xfId="0" applyFont="1" applyAlignment="1">
      <alignment horizontal="left"/>
    </xf>
    <xf numFmtId="14" fontId="5" fillId="2" borderId="0" xfId="0" applyNumberFormat="1" applyFont="1" applyFill="1" applyAlignment="1">
      <alignment horizontal="left" wrapText="1"/>
    </xf>
    <xf numFmtId="164" fontId="5" fillId="2" borderId="0" xfId="0" applyNumberFormat="1" applyFont="1" applyFill="1" applyAlignment="1">
      <alignment horizontal="left" wrapText="1"/>
    </xf>
    <xf numFmtId="164" fontId="5" fillId="2" borderId="0" xfId="1" applyNumberFormat="1" applyFont="1" applyFill="1" applyAlignment="1">
      <alignment horizontal="left" wrapText="1"/>
    </xf>
    <xf numFmtId="44" fontId="0" fillId="0" borderId="0" xfId="0" applyNumberFormat="1" applyAlignment="1">
      <alignment horizontal="left"/>
    </xf>
    <xf numFmtId="44" fontId="0" fillId="0" borderId="0" xfId="1" applyNumberFormat="1" applyFont="1" applyAlignment="1">
      <alignment horizontal="left"/>
    </xf>
    <xf numFmtId="0" fontId="12" fillId="0" borderId="1" xfId="0" applyFont="1" applyBorder="1" applyAlignment="1">
      <alignment wrapText="1"/>
    </xf>
    <xf numFmtId="0" fontId="12" fillId="0" borderId="0" xfId="0" applyFont="1"/>
    <xf numFmtId="0" fontId="13" fillId="5" borderId="12" xfId="0" applyFont="1" applyFill="1" applyBorder="1"/>
    <xf numFmtId="14" fontId="13" fillId="5" borderId="13" xfId="0" applyNumberFormat="1" applyFont="1" applyFill="1" applyBorder="1"/>
    <xf numFmtId="0" fontId="8" fillId="3" borderId="7" xfId="0" applyFont="1" applyFill="1" applyBorder="1" applyAlignment="1">
      <alignment horizontal="center" vertical="center"/>
    </xf>
    <xf numFmtId="0" fontId="8" fillId="3" borderId="0" xfId="0" applyFont="1" applyFill="1" applyAlignment="1">
      <alignment horizontal="center" vertical="center"/>
    </xf>
    <xf numFmtId="0" fontId="8" fillId="3" borderId="8" xfId="0" applyFont="1" applyFill="1" applyBorder="1" applyAlignment="1">
      <alignment horizontal="center" vertical="center"/>
    </xf>
    <xf numFmtId="0" fontId="8" fillId="3" borderId="9" xfId="0" applyFont="1" applyFill="1" applyBorder="1" applyAlignment="1">
      <alignment horizontal="center" vertical="center"/>
    </xf>
    <xf numFmtId="0" fontId="8" fillId="3" borderId="10" xfId="0" applyFont="1" applyFill="1" applyBorder="1" applyAlignment="1">
      <alignment horizontal="center" vertical="center"/>
    </xf>
    <xf numFmtId="0" fontId="8" fillId="3" borderId="11" xfId="0" applyFont="1" applyFill="1" applyBorder="1" applyAlignment="1">
      <alignment horizontal="center" vertical="center"/>
    </xf>
    <xf numFmtId="164" fontId="8" fillId="3" borderId="7" xfId="0" applyNumberFormat="1" applyFont="1" applyFill="1" applyBorder="1" applyAlignment="1">
      <alignment horizontal="center" vertical="center"/>
    </xf>
    <xf numFmtId="164" fontId="8" fillId="3" borderId="0" xfId="0" applyNumberFormat="1" applyFont="1" applyFill="1" applyAlignment="1">
      <alignment horizontal="center" vertical="center"/>
    </xf>
    <xf numFmtId="164" fontId="8" fillId="3" borderId="8" xfId="0" applyNumberFormat="1" applyFont="1" applyFill="1" applyBorder="1" applyAlignment="1">
      <alignment horizontal="center" vertical="center"/>
    </xf>
    <xf numFmtId="164" fontId="8" fillId="3" borderId="9" xfId="0" applyNumberFormat="1" applyFont="1" applyFill="1" applyBorder="1" applyAlignment="1">
      <alignment horizontal="center" vertical="center"/>
    </xf>
    <xf numFmtId="164" fontId="8" fillId="3" borderId="10" xfId="0" applyNumberFormat="1" applyFont="1" applyFill="1" applyBorder="1" applyAlignment="1">
      <alignment horizontal="center" vertical="center"/>
    </xf>
    <xf numFmtId="164" fontId="8" fillId="3" borderId="11" xfId="0" applyNumberFormat="1" applyFont="1" applyFill="1" applyBorder="1" applyAlignment="1">
      <alignment horizontal="center" vertical="center"/>
    </xf>
    <xf numFmtId="0" fontId="9" fillId="3" borderId="4" xfId="0" applyFont="1" applyFill="1" applyBorder="1" applyAlignment="1">
      <alignment horizontal="center" vertical="top" wrapText="1"/>
    </xf>
    <xf numFmtId="0" fontId="2" fillId="3" borderId="5" xfId="0" applyFont="1" applyFill="1" applyBorder="1" applyAlignment="1">
      <alignment horizontal="center" vertical="top"/>
    </xf>
    <xf numFmtId="0" fontId="2" fillId="3" borderId="6" xfId="0" applyFont="1" applyFill="1" applyBorder="1" applyAlignment="1">
      <alignment horizontal="center" vertical="top"/>
    </xf>
    <xf numFmtId="0" fontId="2" fillId="3" borderId="4" xfId="0" applyFont="1" applyFill="1" applyBorder="1" applyAlignment="1">
      <alignment horizontal="center" vertical="top"/>
    </xf>
    <xf numFmtId="0" fontId="2" fillId="4" borderId="4" xfId="0" applyFont="1" applyFill="1" applyBorder="1" applyAlignment="1">
      <alignment horizontal="center" vertical="top"/>
    </xf>
    <xf numFmtId="0" fontId="2" fillId="4" borderId="5" xfId="0" applyFont="1" applyFill="1" applyBorder="1" applyAlignment="1">
      <alignment horizontal="center" vertical="top"/>
    </xf>
    <xf numFmtId="0" fontId="2" fillId="4" borderId="6" xfId="0" applyFont="1" applyFill="1" applyBorder="1" applyAlignment="1">
      <alignment horizontal="center" vertical="top"/>
    </xf>
    <xf numFmtId="0" fontId="2" fillId="4" borderId="4" xfId="0" applyFont="1" applyFill="1" applyBorder="1" applyAlignment="1">
      <alignment horizontal="center" vertical="top" wrapText="1"/>
    </xf>
    <xf numFmtId="0" fontId="2" fillId="4" borderId="5" xfId="0" applyFont="1" applyFill="1" applyBorder="1" applyAlignment="1">
      <alignment horizontal="center" vertical="top" wrapText="1"/>
    </xf>
    <xf numFmtId="0" fontId="2" fillId="4" borderId="6" xfId="0" applyFont="1" applyFill="1" applyBorder="1" applyAlignment="1">
      <alignment horizontal="center" vertical="top" wrapText="1"/>
    </xf>
    <xf numFmtId="0" fontId="2" fillId="3" borderId="4" xfId="0" applyFont="1" applyFill="1" applyBorder="1" applyAlignment="1">
      <alignment horizontal="center" vertical="top" wrapText="1"/>
    </xf>
    <xf numFmtId="1" fontId="8" fillId="3" borderId="7" xfId="0" applyNumberFormat="1" applyFont="1" applyFill="1" applyBorder="1" applyAlignment="1">
      <alignment horizontal="center" vertical="center"/>
    </xf>
    <xf numFmtId="0" fontId="0" fillId="0" borderId="0" xfId="0" applyNumberFormat="1"/>
    <xf numFmtId="0" fontId="5" fillId="0" borderId="0" xfId="0" applyFont="1"/>
    <xf numFmtId="0" fontId="0" fillId="0" borderId="0" xfId="0" applyBorder="1"/>
    <xf numFmtId="0" fontId="12" fillId="0" borderId="14" xfId="0" applyFont="1" applyBorder="1"/>
    <xf numFmtId="0" fontId="0" fillId="0" borderId="15" xfId="0" applyBorder="1"/>
    <xf numFmtId="0" fontId="0" fillId="0" borderId="16" xfId="0" applyBorder="1" applyAlignment="1">
      <alignment wrapText="1"/>
    </xf>
    <xf numFmtId="0" fontId="0" fillId="0" borderId="17" xfId="0" applyBorder="1"/>
    <xf numFmtId="0" fontId="0" fillId="0" borderId="18" xfId="0" applyBorder="1" applyAlignment="1">
      <alignment wrapText="1"/>
    </xf>
    <xf numFmtId="0" fontId="0" fillId="0" borderId="19" xfId="0" applyBorder="1" applyAlignment="1">
      <alignment wrapText="1"/>
    </xf>
    <xf numFmtId="0" fontId="0" fillId="0" borderId="20" xfId="0" applyBorder="1"/>
    <xf numFmtId="0" fontId="0" fillId="0" borderId="21" xfId="0" applyBorder="1" applyAlignment="1">
      <alignment wrapText="1"/>
    </xf>
    <xf numFmtId="0" fontId="0" fillId="0" borderId="22" xfId="0" applyBorder="1"/>
  </cellXfs>
  <cellStyles count="2">
    <cellStyle name="Comma" xfId="1" builtinId="3"/>
    <cellStyle name="Normal" xfId="0" builtinId="0"/>
  </cellStyles>
  <dxfs count="28">
    <dxf>
      <fill>
        <gradientFill degree="90">
          <stop position="0">
            <color theme="7" tint="0.80001220740379042"/>
          </stop>
          <stop position="1">
            <color rgb="FFFF9999"/>
          </stop>
        </gradientFill>
      </fill>
    </dxf>
    <dxf>
      <fill>
        <gradientFill degree="90">
          <stop position="0">
            <color theme="7" tint="0.80001220740379042"/>
          </stop>
          <stop position="1">
            <color rgb="FFFFFF99"/>
          </stop>
        </gradientFill>
      </fill>
    </dxf>
    <dxf>
      <fill>
        <gradientFill degree="90">
          <stop position="0">
            <color theme="7" tint="0.80001220740379042"/>
          </stop>
          <stop position="1">
            <color rgb="FFFF9999"/>
          </stop>
        </gradientFill>
      </fill>
    </dxf>
    <dxf>
      <fill>
        <gradientFill degree="90">
          <stop position="0">
            <color theme="7" tint="0.80001220740379042"/>
          </stop>
          <stop position="1">
            <color rgb="FFFFFF99"/>
          </stop>
        </gradientFill>
      </fill>
    </dxf>
    <dxf>
      <fill>
        <patternFill>
          <bgColor rgb="FFFF9999"/>
        </patternFill>
      </fill>
    </dxf>
    <dxf>
      <fill>
        <patternFill>
          <bgColor rgb="FFFFFF99"/>
        </patternFill>
      </fill>
    </dxf>
    <dxf>
      <fill>
        <patternFill>
          <bgColor theme="0" tint="-0.24994659260841701"/>
        </patternFill>
      </fill>
    </dxf>
    <dxf>
      <alignment horizontal="left" vertical="bottom" textRotation="0" indent="0" justifyLastLine="0" shrinkToFit="0" readingOrder="0"/>
    </dxf>
    <dxf>
      <font>
        <b/>
        <strike val="0"/>
        <outline val="0"/>
        <shadow val="0"/>
        <u val="none"/>
        <vertAlign val="baseline"/>
        <sz val="16"/>
        <color theme="1"/>
        <name val="Aptos Narrow"/>
        <family val="2"/>
        <scheme val="minor"/>
      </font>
      <fill>
        <patternFill patternType="solid">
          <fgColor indexed="64"/>
          <bgColor theme="4" tint="0.59999389629810485"/>
        </patternFill>
      </fill>
      <alignment horizontal="left" vertical="bottom" textRotation="0" wrapText="1" indent="0" justifyLastLine="0" shrinkToFit="0" readingOrder="0"/>
    </dxf>
    <dxf>
      <font>
        <strike val="0"/>
        <outline val="0"/>
        <shadow val="0"/>
        <u val="none"/>
        <vertAlign val="baseline"/>
        <color auto="1"/>
        <name val="Aptos Narrow"/>
        <family val="2"/>
        <scheme val="minor"/>
      </font>
      <numFmt numFmtId="0" formatCode="General"/>
      <alignment horizontal="left" vertical="bottom" textRotation="0" indent="0" justifyLastLine="0" shrinkToFit="0" readingOrder="0"/>
    </dxf>
    <dxf>
      <numFmt numFmtId="0" formatCode="General"/>
      <alignment horizontal="left" vertical="bottom" textRotation="0" indent="0" justifyLastLine="0" shrinkToFit="0" readingOrder="0"/>
    </dxf>
    <dxf>
      <numFmt numFmtId="0" formatCode="General"/>
      <alignment horizontal="left" vertical="bottom" textRotation="0" wrapText="0" indent="0" justifyLastLine="0" shrinkToFit="0" readingOrder="0"/>
    </dxf>
    <dxf>
      <numFmt numFmtId="1" formatCode="0"/>
      <alignment horizontal="left" vertical="bottom" textRotation="0" wrapText="0" indent="0" justifyLastLine="0" shrinkToFit="0" readingOrder="0"/>
    </dxf>
    <dxf>
      <numFmt numFmtId="30" formatCode="@"/>
      <alignment horizontal="left" vertical="bottom" textRotation="0" wrapText="0" indent="0" justifyLastLine="0" shrinkToFit="0" readingOrder="0"/>
    </dxf>
    <dxf>
      <numFmt numFmtId="1" formatCode="0"/>
      <alignment horizontal="left" vertical="bottom" textRotation="0" wrapText="0" indent="0" justifyLastLine="0" shrinkToFit="0" readingOrder="0"/>
    </dxf>
    <dxf>
      <numFmt numFmtId="0" formatCode="General"/>
      <alignment horizontal="left" vertical="bottom" textRotation="0" indent="0" justifyLastLine="0" shrinkToFit="0" readingOrder="0"/>
    </dxf>
    <dxf>
      <numFmt numFmtId="19" formatCode="m/d/yyyy"/>
      <alignment horizontal="left" vertical="bottom" textRotation="0" wrapText="0" indent="0" justifyLastLine="0" shrinkToFit="0" readingOrder="0"/>
    </dxf>
    <dxf>
      <numFmt numFmtId="19" formatCode="m/d/yyyy"/>
      <alignment horizontal="left" vertical="bottom" textRotation="0" wrapText="0" indent="0" justifyLastLine="0" shrinkToFit="0" readingOrder="0"/>
    </dxf>
    <dxf>
      <font>
        <b val="0"/>
        <i val="0"/>
        <strike val="0"/>
        <condense val="0"/>
        <extend val="0"/>
        <outline val="0"/>
        <shadow val="0"/>
        <u val="none"/>
        <vertAlign val="baseline"/>
        <sz val="11"/>
        <color theme="1"/>
        <name val="Aptos Narrow"/>
        <family val="2"/>
        <scheme val="minor"/>
      </font>
      <numFmt numFmtId="34" formatCode="_(&quot;$&quot;* #,##0.00_);_(&quot;$&quot;* \(#,##0.00\);_(&quot;$&quot;* &quot;-&quot;??_);_(@_)"/>
      <alignment horizontal="left" vertical="bottom" textRotation="0" indent="0" justifyLastLine="0" shrinkToFit="0" readingOrder="0"/>
    </dxf>
    <dxf>
      <numFmt numFmtId="34" formatCode="_(&quot;$&quot;* #,##0.00_);_(&quot;$&quot;* \(#,##0.00\);_(&quot;$&quot;* &quot;-&quot;??_);_(@_)"/>
      <alignment horizontal="left" vertical="bottom" textRotation="0" indent="0" justifyLastLine="0" shrinkToFit="0" readingOrder="0"/>
    </dxf>
    <dxf>
      <alignment horizontal="left" vertical="bottom" textRotation="0" indent="0" justifyLastLine="0" shrinkToFit="0" readingOrder="0"/>
    </dxf>
    <dxf>
      <alignment horizontal="left" vertical="bottom" textRotation="0" indent="0" justifyLastLine="0" shrinkToFit="0" readingOrder="0"/>
    </dxf>
    <dxf>
      <alignment horizontal="left" vertical="bottom" textRotation="0" indent="0" justifyLastLine="0" shrinkToFit="0" readingOrder="0"/>
    </dxf>
    <dxf>
      <numFmt numFmtId="30" formatCode="@"/>
      <alignment horizontal="left" vertical="bottom" textRotation="0" indent="0" justifyLastLine="0" shrinkToFit="0" readingOrder="0"/>
    </dxf>
    <dxf>
      <alignment horizontal="left" vertical="bottom" textRotation="0" indent="0" justifyLastLine="0" shrinkToFit="0" readingOrder="0"/>
    </dxf>
    <dxf>
      <font>
        <b/>
        <color theme="1"/>
      </font>
      <border>
        <bottom style="thin">
          <color theme="4"/>
        </bottom>
        <vertical/>
        <horizontal/>
      </border>
    </dxf>
    <dxf>
      <font>
        <color theme="1"/>
      </font>
      <border diagonalUp="0" diagonalDown="0">
        <left/>
        <right/>
        <top/>
        <bottom/>
        <vertical/>
        <horizontal/>
      </border>
    </dxf>
    <dxf>
      <border diagonalUp="0" diagonalDown="0">
        <left/>
        <right/>
        <top/>
        <bottom/>
        <vertical/>
        <horizontal/>
      </border>
    </dxf>
  </dxfs>
  <tableStyles count="2" defaultTableStyle="TableStyleMedium2" defaultPivotStyle="PivotStyleLight16">
    <tableStyle name="Slicer Style 1" pivot="0" table="0" count="1" xr9:uid="{C2374A92-BCAD-4453-AD93-F3C498F68267}">
      <tableStyleElement type="wholeTable" dxfId="27"/>
    </tableStyle>
    <tableStyle name="SlicerStyleLight1 2" pivot="0" table="0" count="10" xr9:uid="{98EF8AAE-473B-4433-9EAC-67CC04BDF89D}">
      <tableStyleElement type="wholeTable" dxfId="26"/>
      <tableStyleElement type="headerRow" dxfId="25"/>
    </tableStyle>
  </tableStyles>
  <colors>
    <mruColors>
      <color rgb="FFFFFF99"/>
      <color rgb="FFFF9999"/>
      <color rgb="FFFF7C80"/>
      <color rgb="FFFF5050"/>
      <color rgb="FFFFCCCC"/>
      <color rgb="FFFFCC66"/>
    </mruColors>
  </color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Slicer Style 1"/>
        <x14:slicerStyle name="SlicerStyleLight1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microsoft.com/office/2007/relationships/slicerCache" Target="slicerCaches/slicerCache8.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sharedStrings" Target="sharedStrings.xml"/><Relationship Id="rId7" Type="http://schemas.microsoft.com/office/2007/relationships/slicerCache" Target="slicerCaches/slicerCache2.xml"/><Relationship Id="rId12" Type="http://schemas.microsoft.com/office/2007/relationships/slicerCache" Target="slicerCaches/slicerCache7.xml"/><Relationship Id="rId17" Type="http://schemas.microsoft.com/office/2007/relationships/slicerCache" Target="slicerCaches/slicerCache12.xml"/><Relationship Id="rId25" Type="http://schemas.openxmlformats.org/officeDocument/2006/relationships/customXml" Target="../customXml/item1.xml"/><Relationship Id="rId2" Type="http://schemas.openxmlformats.org/officeDocument/2006/relationships/worksheet" Target="worksheets/sheet2.xml"/><Relationship Id="rId16" Type="http://schemas.microsoft.com/office/2007/relationships/slicerCache" Target="slicerCaches/slicerCache11.xml"/><Relationship Id="rId20" Type="http://schemas.openxmlformats.org/officeDocument/2006/relationships/styles" Target="styles.xml"/><Relationship Id="rId1" Type="http://schemas.openxmlformats.org/officeDocument/2006/relationships/worksheet" Target="worksheets/sheet1.xml"/><Relationship Id="rId6" Type="http://schemas.microsoft.com/office/2007/relationships/slicerCache" Target="slicerCaches/slicerCache1.xml"/><Relationship Id="rId11" Type="http://schemas.microsoft.com/office/2007/relationships/slicerCache" Target="slicerCaches/slicerCache6.xml"/><Relationship Id="rId24" Type="http://schemas.openxmlformats.org/officeDocument/2006/relationships/calcChain" Target="calcChain.xml"/><Relationship Id="rId5" Type="http://schemas.openxmlformats.org/officeDocument/2006/relationships/pivotCacheDefinition" Target="pivotCache/pivotCacheDefinition1.xml"/><Relationship Id="rId15" Type="http://schemas.microsoft.com/office/2007/relationships/slicerCache" Target="slicerCaches/slicerCache10.xml"/><Relationship Id="rId23" Type="http://schemas.microsoft.com/office/2017/10/relationships/person" Target="persons/person.xml"/><Relationship Id="rId10" Type="http://schemas.microsoft.com/office/2007/relationships/slicerCache" Target="slicerCaches/slicerCache5.xml"/><Relationship Id="rId19" Type="http://schemas.openxmlformats.org/officeDocument/2006/relationships/connections" Target="connections.xml"/><Relationship Id="rId4" Type="http://schemas.openxmlformats.org/officeDocument/2006/relationships/worksheet" Target="worksheets/sheet4.xml"/><Relationship Id="rId9" Type="http://schemas.microsoft.com/office/2007/relationships/slicerCache" Target="slicerCaches/slicerCache4.xml"/><Relationship Id="rId14" Type="http://schemas.microsoft.com/office/2007/relationships/slicerCache" Target="slicerCaches/slicerCache9.xml"/><Relationship Id="rId22" Type="http://schemas.openxmlformats.org/officeDocument/2006/relationships/sheetMetadata" Target="metadata.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[underwriting_project_workbook.xlsx]PivotTables !industryprem</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Premium</a:t>
            </a:r>
            <a:r>
              <a:rPr lang="en-US" baseline="0"/>
              <a:t> by Industry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5854856811264015"/>
          <c:y val="0.17171296296296298"/>
          <c:w val="0.75428919317005649"/>
          <c:h val="0.72125801983085447"/>
        </c:manualLayout>
      </c:layout>
      <c:barChart>
        <c:barDir val="bar"/>
        <c:grouping val="clustered"/>
        <c:varyColors val="0"/>
        <c:ser>
          <c:idx val="0"/>
          <c:order val="0"/>
          <c:tx>
            <c:strRef>
              <c:f>'PivotTables '!$C$2</c:f>
              <c:strCache>
                <c:ptCount val="1"/>
                <c:pt idx="0">
                  <c:v>Total</c:v>
                </c:pt>
              </c:strCache>
            </c:strRef>
          </c:tx>
          <c:spPr>
            <a:solidFill>
              <a:schemeClr val="accent1"/>
            </a:solidFill>
            <a:ln>
              <a:noFill/>
            </a:ln>
            <a:effectLst/>
          </c:spPr>
          <c:invertIfNegative val="0"/>
          <c:cat>
            <c:strRef>
              <c:f>'PivotTables '!$B$3:$B$13</c:f>
              <c:strCache>
                <c:ptCount val="10"/>
                <c:pt idx="0">
                  <c:v>Manufacturing</c:v>
                </c:pt>
                <c:pt idx="1">
                  <c:v>Healthcare</c:v>
                </c:pt>
                <c:pt idx="2">
                  <c:v>Agriculture</c:v>
                </c:pt>
                <c:pt idx="3">
                  <c:v>Construction</c:v>
                </c:pt>
                <c:pt idx="4">
                  <c:v>Hospitality</c:v>
                </c:pt>
                <c:pt idx="5">
                  <c:v>Energy</c:v>
                </c:pt>
                <c:pt idx="6">
                  <c:v>Engineering</c:v>
                </c:pt>
                <c:pt idx="7">
                  <c:v>Retail</c:v>
                </c:pt>
                <c:pt idx="8">
                  <c:v>Transportation</c:v>
                </c:pt>
                <c:pt idx="9">
                  <c:v>Technology</c:v>
                </c:pt>
              </c:strCache>
            </c:strRef>
          </c:cat>
          <c:val>
            <c:numRef>
              <c:f>'PivotTables '!$C$3:$C$13</c:f>
              <c:numCache>
                <c:formatCode>"$"#,##0.00</c:formatCode>
                <c:ptCount val="10"/>
                <c:pt idx="0">
                  <c:v>554082</c:v>
                </c:pt>
                <c:pt idx="1">
                  <c:v>518385.89</c:v>
                </c:pt>
                <c:pt idx="2">
                  <c:v>510761</c:v>
                </c:pt>
                <c:pt idx="3">
                  <c:v>501205</c:v>
                </c:pt>
                <c:pt idx="4">
                  <c:v>495899</c:v>
                </c:pt>
                <c:pt idx="5">
                  <c:v>458636</c:v>
                </c:pt>
                <c:pt idx="6">
                  <c:v>451590</c:v>
                </c:pt>
                <c:pt idx="7">
                  <c:v>410548</c:v>
                </c:pt>
                <c:pt idx="8">
                  <c:v>324289</c:v>
                </c:pt>
                <c:pt idx="9">
                  <c:v>286745</c:v>
                </c:pt>
              </c:numCache>
            </c:numRef>
          </c:val>
          <c:extLst>
            <c:ext xmlns:c16="http://schemas.microsoft.com/office/drawing/2014/chart" uri="{C3380CC4-5D6E-409C-BE32-E72D297353CC}">
              <c16:uniqueId val="{00000000-0E4D-41BE-80B0-9D0740DE3849}"/>
            </c:ext>
          </c:extLst>
        </c:ser>
        <c:dLbls>
          <c:showLegendKey val="0"/>
          <c:showVal val="0"/>
          <c:showCatName val="0"/>
          <c:showSerName val="0"/>
          <c:showPercent val="0"/>
          <c:showBubbleSize val="0"/>
        </c:dLbls>
        <c:gapWidth val="182"/>
        <c:axId val="307713407"/>
        <c:axId val="307707647"/>
      </c:barChart>
      <c:catAx>
        <c:axId val="30771340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7707647"/>
        <c:crosses val="autoZero"/>
        <c:auto val="1"/>
        <c:lblAlgn val="ctr"/>
        <c:lblOffset val="100"/>
        <c:noMultiLvlLbl val="0"/>
      </c:catAx>
      <c:valAx>
        <c:axId val="307707647"/>
        <c:scaling>
          <c:orientation val="minMax"/>
        </c:scaling>
        <c:delete val="0"/>
        <c:axPos val="b"/>
        <c:majorGridlines>
          <c:spPr>
            <a:ln w="9525" cap="flat" cmpd="sng" algn="ctr">
              <a:solidFill>
                <a:schemeClr val="tx1">
                  <a:lumMod val="15000"/>
                  <a:lumOff val="85000"/>
                </a:schemeClr>
              </a:solid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771340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50000"/>
          <a:lumOff val="50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[underwriting_project_workbook.xlsx]PivotTables !provinceclaims</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Claims by Province </a:t>
            </a:r>
          </a:p>
          <a:p>
            <a:pPr>
              <a:defRPr/>
            </a:pP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'PivotTables '!$F$2</c:f>
              <c:strCache>
                <c:ptCount val="1"/>
                <c:pt idx="0">
                  <c:v>Total</c:v>
                </c:pt>
              </c:strCache>
            </c:strRef>
          </c:tx>
          <c:spPr>
            <a:solidFill>
              <a:schemeClr val="accent1"/>
            </a:solidFill>
            <a:ln>
              <a:noFill/>
            </a:ln>
            <a:effectLst/>
          </c:spPr>
          <c:invertIfNegative val="0"/>
          <c:cat>
            <c:strRef>
              <c:f>'PivotTables '!$E$3:$E$7</c:f>
              <c:strCache>
                <c:ptCount val="4"/>
                <c:pt idx="0">
                  <c:v>MB</c:v>
                </c:pt>
                <c:pt idx="1">
                  <c:v>AB</c:v>
                </c:pt>
                <c:pt idx="2">
                  <c:v>BC</c:v>
                </c:pt>
                <c:pt idx="3">
                  <c:v>ON</c:v>
                </c:pt>
              </c:strCache>
            </c:strRef>
          </c:cat>
          <c:val>
            <c:numRef>
              <c:f>'PivotTables '!$F$3:$F$7</c:f>
              <c:numCache>
                <c:formatCode>0</c:formatCode>
                <c:ptCount val="4"/>
                <c:pt idx="0">
                  <c:v>183</c:v>
                </c:pt>
                <c:pt idx="1">
                  <c:v>173</c:v>
                </c:pt>
                <c:pt idx="2">
                  <c:v>126</c:v>
                </c:pt>
                <c:pt idx="3">
                  <c:v>115</c:v>
                </c:pt>
              </c:numCache>
            </c:numRef>
          </c:val>
          <c:extLst>
            <c:ext xmlns:c16="http://schemas.microsoft.com/office/drawing/2014/chart" uri="{C3380CC4-5D6E-409C-BE32-E72D297353CC}">
              <c16:uniqueId val="{00000000-8388-4601-9669-68FB6DF34FE3}"/>
            </c:ext>
          </c:extLst>
        </c:ser>
        <c:dLbls>
          <c:showLegendKey val="0"/>
          <c:showVal val="0"/>
          <c:showCatName val="0"/>
          <c:showSerName val="0"/>
          <c:showPercent val="0"/>
          <c:showBubbleSize val="0"/>
        </c:dLbls>
        <c:gapWidth val="219"/>
        <c:overlap val="-27"/>
        <c:axId val="1736381743"/>
        <c:axId val="1736380303"/>
      </c:barChart>
      <c:catAx>
        <c:axId val="17363817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36380303"/>
        <c:crosses val="autoZero"/>
        <c:auto val="1"/>
        <c:lblAlgn val="ctr"/>
        <c:lblOffset val="100"/>
        <c:noMultiLvlLbl val="0"/>
      </c:catAx>
      <c:valAx>
        <c:axId val="1736380303"/>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3638174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50000"/>
          <a:lumOff val="50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[underwriting_project_workbook.xlsx]PivotTables !policytypecount</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Policies </a:t>
            </a:r>
          </a:p>
          <a:p>
            <a:pPr>
              <a:defRPr/>
            </a:pPr>
            <a:r>
              <a:rPr lang="en-US"/>
              <a:t>by Type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'PivotTables '!$F$11</c:f>
              <c:strCache>
                <c:ptCount val="1"/>
                <c:pt idx="0">
                  <c:v>Total</c:v>
                </c:pt>
              </c:strCache>
            </c:strRef>
          </c:tx>
          <c:spPr>
            <a:solidFill>
              <a:schemeClr val="accent1"/>
            </a:solidFill>
            <a:ln>
              <a:noFill/>
            </a:ln>
            <a:effectLst/>
          </c:spPr>
          <c:invertIfNegative val="0"/>
          <c:cat>
            <c:strRef>
              <c:f>'PivotTables '!$E$12:$E$17</c:f>
              <c:strCache>
                <c:ptCount val="5"/>
                <c:pt idx="0">
                  <c:v>Auto</c:v>
                </c:pt>
                <c:pt idx="1">
                  <c:v>Liability</c:v>
                </c:pt>
                <c:pt idx="2">
                  <c:v>Marine</c:v>
                </c:pt>
                <c:pt idx="3">
                  <c:v>Product Liability</c:v>
                </c:pt>
                <c:pt idx="4">
                  <c:v>Property</c:v>
                </c:pt>
              </c:strCache>
            </c:strRef>
          </c:cat>
          <c:val>
            <c:numRef>
              <c:f>'PivotTables '!$F$12:$F$17</c:f>
              <c:numCache>
                <c:formatCode>General</c:formatCode>
                <c:ptCount val="5"/>
                <c:pt idx="0">
                  <c:v>38</c:v>
                </c:pt>
                <c:pt idx="1">
                  <c:v>38</c:v>
                </c:pt>
                <c:pt idx="2">
                  <c:v>39</c:v>
                </c:pt>
                <c:pt idx="3">
                  <c:v>42</c:v>
                </c:pt>
                <c:pt idx="4">
                  <c:v>44</c:v>
                </c:pt>
              </c:numCache>
            </c:numRef>
          </c:val>
          <c:extLst>
            <c:ext xmlns:c16="http://schemas.microsoft.com/office/drawing/2014/chart" uri="{C3380CC4-5D6E-409C-BE32-E72D297353CC}">
              <c16:uniqueId val="{00000000-A210-4B18-8967-0E91C0CC0DEE}"/>
            </c:ext>
          </c:extLst>
        </c:ser>
        <c:dLbls>
          <c:showLegendKey val="0"/>
          <c:showVal val="0"/>
          <c:showCatName val="0"/>
          <c:showSerName val="0"/>
          <c:showPercent val="0"/>
          <c:showBubbleSize val="0"/>
        </c:dLbls>
        <c:gapWidth val="182"/>
        <c:axId val="165490159"/>
        <c:axId val="165490639"/>
      </c:barChart>
      <c:catAx>
        <c:axId val="16549015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5490639"/>
        <c:crosses val="autoZero"/>
        <c:auto val="1"/>
        <c:lblAlgn val="ctr"/>
        <c:lblOffset val="100"/>
        <c:noMultiLvlLbl val="0"/>
      </c:catAx>
      <c:valAx>
        <c:axId val="16549063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549015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50000"/>
          <a:lumOff val="50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[underwriting_project_workbook.xlsx]PivotTables !PivotTable10</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Policies by Final Risk Level</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s>
    <c:plotArea>
      <c:layout/>
      <c:pieChart>
        <c:varyColors val="1"/>
        <c:ser>
          <c:idx val="0"/>
          <c:order val="0"/>
          <c:tx>
            <c:strRef>
              <c:f>'PivotTables '!$C$16</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0E1B-4BA5-A098-0E036A0337D1}"/>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0E1B-4BA5-A098-0E036A0337D1}"/>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0E1B-4BA5-A098-0E036A0337D1}"/>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741D-4385-8E16-8589D28F5319}"/>
              </c:ext>
            </c:extLst>
          </c:dPt>
          <c:cat>
            <c:strRef>
              <c:f>'PivotTables '!$B$17:$B$20</c:f>
              <c:strCache>
                <c:ptCount val="3"/>
                <c:pt idx="0">
                  <c:v>Low</c:v>
                </c:pt>
                <c:pt idx="1">
                  <c:v>Medium</c:v>
                </c:pt>
                <c:pt idx="2">
                  <c:v>High</c:v>
                </c:pt>
              </c:strCache>
            </c:strRef>
          </c:cat>
          <c:val>
            <c:numRef>
              <c:f>'PivotTables '!$C$17:$C$20</c:f>
              <c:numCache>
                <c:formatCode>General</c:formatCode>
                <c:ptCount val="3"/>
                <c:pt idx="0">
                  <c:v>36</c:v>
                </c:pt>
                <c:pt idx="1">
                  <c:v>97</c:v>
                </c:pt>
                <c:pt idx="2">
                  <c:v>68</c:v>
                </c:pt>
              </c:numCache>
            </c:numRef>
          </c:val>
          <c:extLst>
            <c:ext xmlns:c16="http://schemas.microsoft.com/office/drawing/2014/chart" uri="{C3380CC4-5D6E-409C-BE32-E72D297353CC}">
              <c16:uniqueId val="{00000006-0E1B-4BA5-A098-0E036A0337D1}"/>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50000"/>
          <a:lumOff val="50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absolute">
    <xdr:from>
      <xdr:col>1</xdr:col>
      <xdr:colOff>1070882</xdr:colOff>
      <xdr:row>0</xdr:row>
      <xdr:rowOff>57150</xdr:rowOff>
    </xdr:from>
    <xdr:to>
      <xdr:col>3</xdr:col>
      <xdr:colOff>461282</xdr:colOff>
      <xdr:row>5</xdr:row>
      <xdr:rowOff>190500</xdr:rowOff>
    </xdr:to>
    <mc:AlternateContent xmlns:mc="http://schemas.openxmlformats.org/markup-compatibility/2006" xmlns:sle15="http://schemas.microsoft.com/office/drawing/2012/slicer">
      <mc:Choice Requires="sle15">
        <xdr:graphicFrame macro="">
          <xdr:nvGraphicFramePr>
            <xdr:cNvPr id="11" name="Province 1">
              <a:extLst>
                <a:ext uri="{FF2B5EF4-FFF2-40B4-BE49-F238E27FC236}">
                  <a16:creationId xmlns:a16="http://schemas.microsoft.com/office/drawing/2014/main" id="{E36AB608-D2CC-3532-6FE0-571321D9C99F}"/>
                </a:ext>
              </a:extLst>
            </xdr:cNvPr>
            <xdr:cNvGraphicFramePr/>
          </xdr:nvGraphicFramePr>
          <xdr:xfrm>
            <a:off x="0" y="0"/>
            <a:ext cx="0" cy="0"/>
          </xdr:xfrm>
          <a:graphic>
            <a:graphicData uri="http://schemas.microsoft.com/office/drawing/2010/slicer">
              <sle:slicer xmlns:sle="http://schemas.microsoft.com/office/drawing/2010/slicer" name="Province 1"/>
            </a:graphicData>
          </a:graphic>
        </xdr:graphicFrame>
      </mc:Choice>
      <mc:Fallback xmlns="">
        <xdr:sp macro="" textlink="">
          <xdr:nvSpPr>
            <xdr:cNvPr id="0" name=""/>
            <xdr:cNvSpPr>
              <a:spLocks noTextEdit="1"/>
            </xdr:cNvSpPr>
          </xdr:nvSpPr>
          <xdr:spPr>
            <a:xfrm>
              <a:off x="2013857" y="57150"/>
              <a:ext cx="1828800" cy="1371600"/>
            </a:xfrm>
            <a:prstGeom prst="rect">
              <a:avLst/>
            </a:prstGeom>
            <a:solidFill>
              <a:prstClr val="white"/>
            </a:solidFill>
            <a:ln w="1">
              <a:solidFill>
                <a:prstClr val="green"/>
              </a:solidFill>
            </a:ln>
          </xdr:spPr>
          <xdr:txBody>
            <a:bodyPr vertOverflow="clip" horzOverflow="clip"/>
            <a:lstStyle/>
            <a:p>
              <a:r>
                <a:rPr lang="en-CA"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3</xdr:col>
      <xdr:colOff>532039</xdr:colOff>
      <xdr:row>0</xdr:row>
      <xdr:rowOff>57150</xdr:rowOff>
    </xdr:from>
    <xdr:to>
      <xdr:col>5</xdr:col>
      <xdr:colOff>208189</xdr:colOff>
      <xdr:row>5</xdr:row>
      <xdr:rowOff>190500</xdr:rowOff>
    </xdr:to>
    <mc:AlternateContent xmlns:mc="http://schemas.openxmlformats.org/markup-compatibility/2006" xmlns:sle15="http://schemas.microsoft.com/office/drawing/2012/slicer">
      <mc:Choice Requires="sle15">
        <xdr:graphicFrame macro="">
          <xdr:nvGraphicFramePr>
            <xdr:cNvPr id="12" name="Industry 1">
              <a:extLst>
                <a:ext uri="{FF2B5EF4-FFF2-40B4-BE49-F238E27FC236}">
                  <a16:creationId xmlns:a16="http://schemas.microsoft.com/office/drawing/2014/main" id="{82A3373C-F02D-8D4E-478B-EBD86D9C0577}"/>
                </a:ext>
              </a:extLst>
            </xdr:cNvPr>
            <xdr:cNvGraphicFramePr/>
          </xdr:nvGraphicFramePr>
          <xdr:xfrm>
            <a:off x="0" y="0"/>
            <a:ext cx="0" cy="0"/>
          </xdr:xfrm>
          <a:graphic>
            <a:graphicData uri="http://schemas.microsoft.com/office/drawing/2010/slicer">
              <sle:slicer xmlns:sle="http://schemas.microsoft.com/office/drawing/2010/slicer" name="Industry 1"/>
            </a:graphicData>
          </a:graphic>
        </xdr:graphicFrame>
      </mc:Choice>
      <mc:Fallback xmlns="">
        <xdr:sp macro="" textlink="">
          <xdr:nvSpPr>
            <xdr:cNvPr id="0" name=""/>
            <xdr:cNvSpPr>
              <a:spLocks noTextEdit="1"/>
            </xdr:cNvSpPr>
          </xdr:nvSpPr>
          <xdr:spPr>
            <a:xfrm>
              <a:off x="3913414" y="57150"/>
              <a:ext cx="1828800" cy="1371600"/>
            </a:xfrm>
            <a:prstGeom prst="rect">
              <a:avLst/>
            </a:prstGeom>
            <a:solidFill>
              <a:prstClr val="white"/>
            </a:solidFill>
            <a:ln w="1">
              <a:solidFill>
                <a:prstClr val="green"/>
              </a:solidFill>
            </a:ln>
          </xdr:spPr>
          <xdr:txBody>
            <a:bodyPr vertOverflow="clip" horzOverflow="clip"/>
            <a:lstStyle/>
            <a:p>
              <a:r>
                <a:rPr lang="en-CA"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5</xdr:col>
      <xdr:colOff>278946</xdr:colOff>
      <xdr:row>0</xdr:row>
      <xdr:rowOff>57150</xdr:rowOff>
    </xdr:from>
    <xdr:to>
      <xdr:col>7</xdr:col>
      <xdr:colOff>21771</xdr:colOff>
      <xdr:row>5</xdr:row>
      <xdr:rowOff>190500</xdr:rowOff>
    </xdr:to>
    <mc:AlternateContent xmlns:mc="http://schemas.openxmlformats.org/markup-compatibility/2006" xmlns:sle15="http://schemas.microsoft.com/office/drawing/2012/slicer">
      <mc:Choice Requires="sle15">
        <xdr:graphicFrame macro="">
          <xdr:nvGraphicFramePr>
            <xdr:cNvPr id="13" name="Policy Type 1">
              <a:extLst>
                <a:ext uri="{FF2B5EF4-FFF2-40B4-BE49-F238E27FC236}">
                  <a16:creationId xmlns:a16="http://schemas.microsoft.com/office/drawing/2014/main" id="{06136BC5-D440-B429-B579-C02ECB141167}"/>
                </a:ext>
              </a:extLst>
            </xdr:cNvPr>
            <xdr:cNvGraphicFramePr/>
          </xdr:nvGraphicFramePr>
          <xdr:xfrm>
            <a:off x="0" y="0"/>
            <a:ext cx="0" cy="0"/>
          </xdr:xfrm>
          <a:graphic>
            <a:graphicData uri="http://schemas.microsoft.com/office/drawing/2010/slicer">
              <sle:slicer xmlns:sle="http://schemas.microsoft.com/office/drawing/2010/slicer" name="Policy Type 1"/>
            </a:graphicData>
          </a:graphic>
        </xdr:graphicFrame>
      </mc:Choice>
      <mc:Fallback xmlns="">
        <xdr:sp macro="" textlink="">
          <xdr:nvSpPr>
            <xdr:cNvPr id="0" name=""/>
            <xdr:cNvSpPr>
              <a:spLocks noTextEdit="1"/>
            </xdr:cNvSpPr>
          </xdr:nvSpPr>
          <xdr:spPr>
            <a:xfrm>
              <a:off x="5812971" y="57150"/>
              <a:ext cx="1828800" cy="1371600"/>
            </a:xfrm>
            <a:prstGeom prst="rect">
              <a:avLst/>
            </a:prstGeom>
            <a:solidFill>
              <a:prstClr val="white"/>
            </a:solidFill>
            <a:ln w="1">
              <a:solidFill>
                <a:prstClr val="green"/>
              </a:solidFill>
            </a:ln>
          </xdr:spPr>
          <xdr:txBody>
            <a:bodyPr vertOverflow="clip" horzOverflow="clip"/>
            <a:lstStyle/>
            <a:p>
              <a:r>
                <a:rPr lang="en-CA"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7</xdr:col>
      <xdr:colOff>92528</xdr:colOff>
      <xdr:row>0</xdr:row>
      <xdr:rowOff>57150</xdr:rowOff>
    </xdr:from>
    <xdr:to>
      <xdr:col>8</xdr:col>
      <xdr:colOff>854528</xdr:colOff>
      <xdr:row>5</xdr:row>
      <xdr:rowOff>190500</xdr:rowOff>
    </xdr:to>
    <mc:AlternateContent xmlns:mc="http://schemas.openxmlformats.org/markup-compatibility/2006" xmlns:sle15="http://schemas.microsoft.com/office/drawing/2012/slicer">
      <mc:Choice Requires="sle15">
        <xdr:graphicFrame macro="">
          <xdr:nvGraphicFramePr>
            <xdr:cNvPr id="14" name="Policy Status ">
              <a:extLst>
                <a:ext uri="{FF2B5EF4-FFF2-40B4-BE49-F238E27FC236}">
                  <a16:creationId xmlns:a16="http://schemas.microsoft.com/office/drawing/2014/main" id="{52B12FE6-8444-600D-4D31-DB4F77CF8443}"/>
                </a:ext>
              </a:extLst>
            </xdr:cNvPr>
            <xdr:cNvGraphicFramePr/>
          </xdr:nvGraphicFramePr>
          <xdr:xfrm>
            <a:off x="0" y="0"/>
            <a:ext cx="0" cy="0"/>
          </xdr:xfrm>
          <a:graphic>
            <a:graphicData uri="http://schemas.microsoft.com/office/drawing/2010/slicer">
              <sle:slicer xmlns:sle="http://schemas.microsoft.com/office/drawing/2010/slicer" name="Policy Status "/>
            </a:graphicData>
          </a:graphic>
        </xdr:graphicFrame>
      </mc:Choice>
      <mc:Fallback xmlns="">
        <xdr:sp macro="" textlink="">
          <xdr:nvSpPr>
            <xdr:cNvPr id="0" name=""/>
            <xdr:cNvSpPr>
              <a:spLocks noTextEdit="1"/>
            </xdr:cNvSpPr>
          </xdr:nvSpPr>
          <xdr:spPr>
            <a:xfrm>
              <a:off x="7712528" y="57150"/>
              <a:ext cx="1828800" cy="1371600"/>
            </a:xfrm>
            <a:prstGeom prst="rect">
              <a:avLst/>
            </a:prstGeom>
            <a:solidFill>
              <a:prstClr val="white"/>
            </a:solidFill>
            <a:ln w="1">
              <a:solidFill>
                <a:prstClr val="green"/>
              </a:solidFill>
            </a:ln>
          </xdr:spPr>
          <xdr:txBody>
            <a:bodyPr vertOverflow="clip" horzOverflow="clip"/>
            <a:lstStyle/>
            <a:p>
              <a:r>
                <a:rPr lang="en-CA"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8</xdr:col>
      <xdr:colOff>925285</xdr:colOff>
      <xdr:row>0</xdr:row>
      <xdr:rowOff>57150</xdr:rowOff>
    </xdr:from>
    <xdr:to>
      <xdr:col>10</xdr:col>
      <xdr:colOff>810985</xdr:colOff>
      <xdr:row>5</xdr:row>
      <xdr:rowOff>190500</xdr:rowOff>
    </xdr:to>
    <mc:AlternateContent xmlns:mc="http://schemas.openxmlformats.org/markup-compatibility/2006" xmlns:sle15="http://schemas.microsoft.com/office/drawing/2012/slicer">
      <mc:Choice Requires="sle15">
        <xdr:graphicFrame macro="">
          <xdr:nvGraphicFramePr>
            <xdr:cNvPr id="15" name="Risk Level  1">
              <a:extLst>
                <a:ext uri="{FF2B5EF4-FFF2-40B4-BE49-F238E27FC236}">
                  <a16:creationId xmlns:a16="http://schemas.microsoft.com/office/drawing/2014/main" id="{6E232C4E-DDA0-FE84-6A39-2888E43BA1F9}"/>
                </a:ext>
              </a:extLst>
            </xdr:cNvPr>
            <xdr:cNvGraphicFramePr/>
          </xdr:nvGraphicFramePr>
          <xdr:xfrm>
            <a:off x="0" y="0"/>
            <a:ext cx="0" cy="0"/>
          </xdr:xfrm>
          <a:graphic>
            <a:graphicData uri="http://schemas.microsoft.com/office/drawing/2010/slicer">
              <sle:slicer xmlns:sle="http://schemas.microsoft.com/office/drawing/2010/slicer" name="Risk Level  1"/>
            </a:graphicData>
          </a:graphic>
        </xdr:graphicFrame>
      </mc:Choice>
      <mc:Fallback xmlns="">
        <xdr:sp macro="" textlink="">
          <xdr:nvSpPr>
            <xdr:cNvPr id="0" name=""/>
            <xdr:cNvSpPr>
              <a:spLocks noTextEdit="1"/>
            </xdr:cNvSpPr>
          </xdr:nvSpPr>
          <xdr:spPr>
            <a:xfrm>
              <a:off x="9612085" y="57150"/>
              <a:ext cx="1828800" cy="1371600"/>
            </a:xfrm>
            <a:prstGeom prst="rect">
              <a:avLst/>
            </a:prstGeom>
            <a:solidFill>
              <a:prstClr val="white"/>
            </a:solidFill>
            <a:ln w="1">
              <a:solidFill>
                <a:prstClr val="green"/>
              </a:solidFill>
            </a:ln>
          </xdr:spPr>
          <xdr:txBody>
            <a:bodyPr vertOverflow="clip" horzOverflow="clip"/>
            <a:lstStyle/>
            <a:p>
              <a:r>
                <a:rPr lang="en-CA"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10</xdr:col>
      <xdr:colOff>881742</xdr:colOff>
      <xdr:row>0</xdr:row>
      <xdr:rowOff>57150</xdr:rowOff>
    </xdr:from>
    <xdr:to>
      <xdr:col>13</xdr:col>
      <xdr:colOff>205467</xdr:colOff>
      <xdr:row>5</xdr:row>
      <xdr:rowOff>190500</xdr:rowOff>
    </xdr:to>
    <mc:AlternateContent xmlns:mc="http://schemas.openxmlformats.org/markup-compatibility/2006" xmlns:sle15="http://schemas.microsoft.com/office/drawing/2012/slicer">
      <mc:Choice Requires="sle15">
        <xdr:graphicFrame macro="">
          <xdr:nvGraphicFramePr>
            <xdr:cNvPr id="16" name=" Claims Frequency ">
              <a:extLst>
                <a:ext uri="{FF2B5EF4-FFF2-40B4-BE49-F238E27FC236}">
                  <a16:creationId xmlns:a16="http://schemas.microsoft.com/office/drawing/2014/main" id="{1AD3E808-E33A-6D76-9125-6E0B0ECCBCB6}"/>
                </a:ext>
              </a:extLst>
            </xdr:cNvPr>
            <xdr:cNvGraphicFramePr/>
          </xdr:nvGraphicFramePr>
          <xdr:xfrm>
            <a:off x="0" y="0"/>
            <a:ext cx="0" cy="0"/>
          </xdr:xfrm>
          <a:graphic>
            <a:graphicData uri="http://schemas.microsoft.com/office/drawing/2010/slicer">
              <sle:slicer xmlns:sle="http://schemas.microsoft.com/office/drawing/2010/slicer" name=" Claims Frequency "/>
            </a:graphicData>
          </a:graphic>
        </xdr:graphicFrame>
      </mc:Choice>
      <mc:Fallback xmlns="">
        <xdr:sp macro="" textlink="">
          <xdr:nvSpPr>
            <xdr:cNvPr id="0" name=""/>
            <xdr:cNvSpPr>
              <a:spLocks noTextEdit="1"/>
            </xdr:cNvSpPr>
          </xdr:nvSpPr>
          <xdr:spPr>
            <a:xfrm>
              <a:off x="11511642" y="57150"/>
              <a:ext cx="1828800" cy="1371600"/>
            </a:xfrm>
            <a:prstGeom prst="rect">
              <a:avLst/>
            </a:prstGeom>
            <a:solidFill>
              <a:prstClr val="white"/>
            </a:solidFill>
            <a:ln w="1">
              <a:solidFill>
                <a:prstClr val="green"/>
              </a:solidFill>
            </a:ln>
          </xdr:spPr>
          <xdr:txBody>
            <a:bodyPr vertOverflow="clip" horzOverflow="clip"/>
            <a:lstStyle/>
            <a:p>
              <a:r>
                <a:rPr lang="en-CA"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13</xdr:col>
      <xdr:colOff>276225</xdr:colOff>
      <xdr:row>0</xdr:row>
      <xdr:rowOff>57150</xdr:rowOff>
    </xdr:from>
    <xdr:to>
      <xdr:col>15</xdr:col>
      <xdr:colOff>57150</xdr:colOff>
      <xdr:row>5</xdr:row>
      <xdr:rowOff>190500</xdr:rowOff>
    </xdr:to>
    <mc:AlternateContent xmlns:mc="http://schemas.openxmlformats.org/markup-compatibility/2006" xmlns:sle15="http://schemas.microsoft.com/office/drawing/2012/slicer">
      <mc:Choice Requires="sle15">
        <xdr:graphicFrame macro="">
          <xdr:nvGraphicFramePr>
            <xdr:cNvPr id="17" name="Final Risk Level">
              <a:extLst>
                <a:ext uri="{FF2B5EF4-FFF2-40B4-BE49-F238E27FC236}">
                  <a16:creationId xmlns:a16="http://schemas.microsoft.com/office/drawing/2014/main" id="{8D7B767A-899D-2B64-E4EF-604331C7DCD4}"/>
                </a:ext>
              </a:extLst>
            </xdr:cNvPr>
            <xdr:cNvGraphicFramePr/>
          </xdr:nvGraphicFramePr>
          <xdr:xfrm>
            <a:off x="0" y="0"/>
            <a:ext cx="0" cy="0"/>
          </xdr:xfrm>
          <a:graphic>
            <a:graphicData uri="http://schemas.microsoft.com/office/drawing/2010/slicer">
              <sle:slicer xmlns:sle="http://schemas.microsoft.com/office/drawing/2010/slicer" name="Final Risk Level"/>
            </a:graphicData>
          </a:graphic>
        </xdr:graphicFrame>
      </mc:Choice>
      <mc:Fallback xmlns="">
        <xdr:sp macro="" textlink="">
          <xdr:nvSpPr>
            <xdr:cNvPr id="0" name=""/>
            <xdr:cNvSpPr>
              <a:spLocks noTextEdit="1"/>
            </xdr:cNvSpPr>
          </xdr:nvSpPr>
          <xdr:spPr>
            <a:xfrm>
              <a:off x="13411200" y="57150"/>
              <a:ext cx="1828800" cy="1371600"/>
            </a:xfrm>
            <a:prstGeom prst="rect">
              <a:avLst/>
            </a:prstGeom>
            <a:solidFill>
              <a:prstClr val="white"/>
            </a:solidFill>
            <a:ln w="1">
              <a:solidFill>
                <a:prstClr val="green"/>
              </a:solidFill>
            </a:ln>
          </xdr:spPr>
          <xdr:txBody>
            <a:bodyPr vertOverflow="clip" horzOverflow="clip"/>
            <a:lstStyle/>
            <a:p>
              <a:r>
                <a:rPr lang="en-CA"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0</xdr:col>
      <xdr:colOff>114300</xdr:colOff>
      <xdr:row>0</xdr:row>
      <xdr:rowOff>57150</xdr:rowOff>
    </xdr:from>
    <xdr:to>
      <xdr:col>1</xdr:col>
      <xdr:colOff>1000125</xdr:colOff>
      <xdr:row>5</xdr:row>
      <xdr:rowOff>190500</xdr:rowOff>
    </xdr:to>
    <mc:AlternateContent xmlns:mc="http://schemas.openxmlformats.org/markup-compatibility/2006" xmlns:sle15="http://schemas.microsoft.com/office/drawing/2012/slicer">
      <mc:Choice Requires="sle15">
        <xdr:graphicFrame macro="">
          <xdr:nvGraphicFramePr>
            <xdr:cNvPr id="23" name="Client Name">
              <a:extLst>
                <a:ext uri="{FF2B5EF4-FFF2-40B4-BE49-F238E27FC236}">
                  <a16:creationId xmlns:a16="http://schemas.microsoft.com/office/drawing/2014/main" id="{4C546AAD-F9E2-0CCF-1DA2-1DF3B4B92ABA}"/>
                </a:ext>
              </a:extLst>
            </xdr:cNvPr>
            <xdr:cNvGraphicFramePr/>
          </xdr:nvGraphicFramePr>
          <xdr:xfrm>
            <a:off x="0" y="0"/>
            <a:ext cx="0" cy="0"/>
          </xdr:xfrm>
          <a:graphic>
            <a:graphicData uri="http://schemas.microsoft.com/office/drawing/2010/slicer">
              <sle:slicer xmlns:sle="http://schemas.microsoft.com/office/drawing/2010/slicer" name="Client Name"/>
            </a:graphicData>
          </a:graphic>
        </xdr:graphicFrame>
      </mc:Choice>
      <mc:Fallback xmlns="">
        <xdr:sp macro="" textlink="">
          <xdr:nvSpPr>
            <xdr:cNvPr id="0" name=""/>
            <xdr:cNvSpPr>
              <a:spLocks noTextEdit="1"/>
            </xdr:cNvSpPr>
          </xdr:nvSpPr>
          <xdr:spPr>
            <a:xfrm>
              <a:off x="114300" y="57150"/>
              <a:ext cx="1828800" cy="1371600"/>
            </a:xfrm>
            <a:prstGeom prst="rect">
              <a:avLst/>
            </a:prstGeom>
            <a:solidFill>
              <a:prstClr val="white"/>
            </a:solidFill>
            <a:ln w="1">
              <a:solidFill>
                <a:prstClr val="green"/>
              </a:solidFill>
            </a:ln>
          </xdr:spPr>
          <xdr:txBody>
            <a:bodyPr vertOverflow="clip" horzOverflow="clip"/>
            <a:lstStyle/>
            <a:p>
              <a:r>
                <a:rPr lang="en-CA"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180975</xdr:colOff>
      <xdr:row>10</xdr:row>
      <xdr:rowOff>4762</xdr:rowOff>
    </xdr:from>
    <xdr:to>
      <xdr:col>8</xdr:col>
      <xdr:colOff>495300</xdr:colOff>
      <xdr:row>24</xdr:row>
      <xdr:rowOff>80962</xdr:rowOff>
    </xdr:to>
    <xdr:graphicFrame macro="">
      <xdr:nvGraphicFramePr>
        <xdr:cNvPr id="14" name="Chart 2">
          <a:extLst>
            <a:ext uri="{FF2B5EF4-FFF2-40B4-BE49-F238E27FC236}">
              <a16:creationId xmlns:a16="http://schemas.microsoft.com/office/drawing/2014/main" id="{EA3ECF75-4F62-C828-4D53-CE0A1403176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590551</xdr:colOff>
      <xdr:row>10</xdr:row>
      <xdr:rowOff>4762</xdr:rowOff>
    </xdr:from>
    <xdr:to>
      <xdr:col>14</xdr:col>
      <xdr:colOff>446617</xdr:colOff>
      <xdr:row>24</xdr:row>
      <xdr:rowOff>80962</xdr:rowOff>
    </xdr:to>
    <xdr:graphicFrame macro="">
      <xdr:nvGraphicFramePr>
        <xdr:cNvPr id="15" name="Chart 3">
          <a:extLst>
            <a:ext uri="{FF2B5EF4-FFF2-40B4-BE49-F238E27FC236}">
              <a16:creationId xmlns:a16="http://schemas.microsoft.com/office/drawing/2014/main" id="{C14BE3F0-A915-F233-D986-AF56DC2FCBC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20</xdr:col>
      <xdr:colOff>476251</xdr:colOff>
      <xdr:row>10</xdr:row>
      <xdr:rowOff>4762</xdr:rowOff>
    </xdr:from>
    <xdr:to>
      <xdr:col>28</xdr:col>
      <xdr:colOff>438151</xdr:colOff>
      <xdr:row>24</xdr:row>
      <xdr:rowOff>80962</xdr:rowOff>
    </xdr:to>
    <xdr:graphicFrame macro="">
      <xdr:nvGraphicFramePr>
        <xdr:cNvPr id="17" name="Chart 5">
          <a:extLst>
            <a:ext uri="{FF2B5EF4-FFF2-40B4-BE49-F238E27FC236}">
              <a16:creationId xmlns:a16="http://schemas.microsoft.com/office/drawing/2014/main" id="{C67D605D-E38C-41E6-00CA-CEFF5EA7DBF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3</xdr:col>
      <xdr:colOff>21168</xdr:colOff>
      <xdr:row>25</xdr:row>
      <xdr:rowOff>85724</xdr:rowOff>
    </xdr:from>
    <xdr:to>
      <xdr:col>5</xdr:col>
      <xdr:colOff>306918</xdr:colOff>
      <xdr:row>32</xdr:row>
      <xdr:rowOff>114300</xdr:rowOff>
    </xdr:to>
    <mc:AlternateContent xmlns:mc="http://schemas.openxmlformats.org/markup-compatibility/2006" xmlns:a14="http://schemas.microsoft.com/office/drawing/2010/main">
      <mc:Choice Requires="a14">
        <xdr:graphicFrame macro="">
          <xdr:nvGraphicFramePr>
            <xdr:cNvPr id="26" name="Province">
              <a:extLst>
                <a:ext uri="{FF2B5EF4-FFF2-40B4-BE49-F238E27FC236}">
                  <a16:creationId xmlns:a16="http://schemas.microsoft.com/office/drawing/2014/main" id="{19FCE6E0-B6B1-20C3-913D-197E908357DB}"/>
                </a:ext>
              </a:extLst>
            </xdr:cNvPr>
            <xdr:cNvGraphicFramePr/>
          </xdr:nvGraphicFramePr>
          <xdr:xfrm>
            <a:off x="0" y="0"/>
            <a:ext cx="0" cy="0"/>
          </xdr:xfrm>
          <a:graphic>
            <a:graphicData uri="http://schemas.microsoft.com/office/drawing/2010/slicer">
              <sle:slicer xmlns:sle="http://schemas.microsoft.com/office/drawing/2010/slicer" name="Province"/>
            </a:graphicData>
          </a:graphic>
        </xdr:graphicFrame>
      </mc:Choice>
      <mc:Fallback xmlns="">
        <xdr:sp macro="" textlink="">
          <xdr:nvSpPr>
            <xdr:cNvPr id="0" name=""/>
            <xdr:cNvSpPr>
              <a:spLocks noTextEdit="1"/>
            </xdr:cNvSpPr>
          </xdr:nvSpPr>
          <xdr:spPr>
            <a:xfrm>
              <a:off x="1849968" y="5105399"/>
              <a:ext cx="1504950" cy="1590676"/>
            </a:xfrm>
            <a:prstGeom prst="rect">
              <a:avLst/>
            </a:prstGeom>
            <a:solidFill>
              <a:prstClr val="white"/>
            </a:solidFill>
            <a:ln w="1">
              <a:solidFill>
                <a:prstClr val="green"/>
              </a:solidFill>
            </a:ln>
          </xdr:spPr>
          <xdr:txBody>
            <a:bodyPr vertOverflow="clip" horzOverflow="clip"/>
            <a:lstStyle/>
            <a:p>
              <a:r>
                <a:rPr lang="en-C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212726</xdr:colOff>
      <xdr:row>25</xdr:row>
      <xdr:rowOff>85724</xdr:rowOff>
    </xdr:from>
    <xdr:to>
      <xdr:col>2</xdr:col>
      <xdr:colOff>498476</xdr:colOff>
      <xdr:row>36</xdr:row>
      <xdr:rowOff>57149</xdr:rowOff>
    </xdr:to>
    <mc:AlternateContent xmlns:mc="http://schemas.openxmlformats.org/markup-compatibility/2006" xmlns:a14="http://schemas.microsoft.com/office/drawing/2010/main">
      <mc:Choice Requires="a14">
        <xdr:graphicFrame macro="">
          <xdr:nvGraphicFramePr>
            <xdr:cNvPr id="27" name="Industry">
              <a:extLst>
                <a:ext uri="{FF2B5EF4-FFF2-40B4-BE49-F238E27FC236}">
                  <a16:creationId xmlns:a16="http://schemas.microsoft.com/office/drawing/2014/main" id="{652A205D-01EC-8E15-18F7-E4B28FF6E158}"/>
                </a:ext>
              </a:extLst>
            </xdr:cNvPr>
            <xdr:cNvGraphicFramePr/>
          </xdr:nvGraphicFramePr>
          <xdr:xfrm>
            <a:off x="0" y="0"/>
            <a:ext cx="0" cy="0"/>
          </xdr:xfrm>
          <a:graphic>
            <a:graphicData uri="http://schemas.microsoft.com/office/drawing/2010/slicer">
              <sle:slicer xmlns:sle="http://schemas.microsoft.com/office/drawing/2010/slicer" name="Industry"/>
            </a:graphicData>
          </a:graphic>
        </xdr:graphicFrame>
      </mc:Choice>
      <mc:Fallback xmlns="">
        <xdr:sp macro="" textlink="">
          <xdr:nvSpPr>
            <xdr:cNvPr id="0" name=""/>
            <xdr:cNvSpPr>
              <a:spLocks noTextEdit="1"/>
            </xdr:cNvSpPr>
          </xdr:nvSpPr>
          <xdr:spPr>
            <a:xfrm>
              <a:off x="212726" y="5105399"/>
              <a:ext cx="1504950" cy="2295525"/>
            </a:xfrm>
            <a:prstGeom prst="rect">
              <a:avLst/>
            </a:prstGeom>
            <a:solidFill>
              <a:prstClr val="white"/>
            </a:solidFill>
            <a:ln w="1">
              <a:solidFill>
                <a:prstClr val="green"/>
              </a:solidFill>
            </a:ln>
          </xdr:spPr>
          <xdr:txBody>
            <a:bodyPr vertOverflow="clip" horzOverflow="clip"/>
            <a:lstStyle/>
            <a:p>
              <a:r>
                <a:rPr lang="en-C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247651</xdr:colOff>
      <xdr:row>25</xdr:row>
      <xdr:rowOff>85724</xdr:rowOff>
    </xdr:from>
    <xdr:to>
      <xdr:col>10</xdr:col>
      <xdr:colOff>533401</xdr:colOff>
      <xdr:row>34</xdr:row>
      <xdr:rowOff>9525</xdr:rowOff>
    </xdr:to>
    <mc:AlternateContent xmlns:mc="http://schemas.openxmlformats.org/markup-compatibility/2006" xmlns:a14="http://schemas.microsoft.com/office/drawing/2010/main">
      <mc:Choice Requires="a14">
        <xdr:graphicFrame macro="">
          <xdr:nvGraphicFramePr>
            <xdr:cNvPr id="28" name="Policy Type">
              <a:extLst>
                <a:ext uri="{FF2B5EF4-FFF2-40B4-BE49-F238E27FC236}">
                  <a16:creationId xmlns:a16="http://schemas.microsoft.com/office/drawing/2014/main" id="{EC07DD82-BB54-6783-B483-4BC9D8B8A22C}"/>
                </a:ext>
              </a:extLst>
            </xdr:cNvPr>
            <xdr:cNvGraphicFramePr/>
          </xdr:nvGraphicFramePr>
          <xdr:xfrm>
            <a:off x="0" y="0"/>
            <a:ext cx="0" cy="0"/>
          </xdr:xfrm>
          <a:graphic>
            <a:graphicData uri="http://schemas.microsoft.com/office/drawing/2010/slicer">
              <sle:slicer xmlns:sle="http://schemas.microsoft.com/office/drawing/2010/slicer" name="Policy Type"/>
            </a:graphicData>
          </a:graphic>
        </xdr:graphicFrame>
      </mc:Choice>
      <mc:Fallback xmlns="">
        <xdr:sp macro="" textlink="">
          <xdr:nvSpPr>
            <xdr:cNvPr id="0" name=""/>
            <xdr:cNvSpPr>
              <a:spLocks noTextEdit="1"/>
            </xdr:cNvSpPr>
          </xdr:nvSpPr>
          <xdr:spPr>
            <a:xfrm>
              <a:off x="5124451" y="5105399"/>
              <a:ext cx="1504950" cy="1866901"/>
            </a:xfrm>
            <a:prstGeom prst="rect">
              <a:avLst/>
            </a:prstGeom>
            <a:solidFill>
              <a:prstClr val="white"/>
            </a:solidFill>
            <a:ln w="1">
              <a:solidFill>
                <a:prstClr val="green"/>
              </a:solidFill>
            </a:ln>
          </xdr:spPr>
          <xdr:txBody>
            <a:bodyPr vertOverflow="clip" horzOverflow="clip"/>
            <a:lstStyle/>
            <a:p>
              <a:r>
                <a:rPr lang="en-C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439210</xdr:colOff>
      <xdr:row>25</xdr:row>
      <xdr:rowOff>85724</xdr:rowOff>
    </xdr:from>
    <xdr:to>
      <xdr:col>8</xdr:col>
      <xdr:colOff>115360</xdr:colOff>
      <xdr:row>30</xdr:row>
      <xdr:rowOff>257177</xdr:rowOff>
    </xdr:to>
    <mc:AlternateContent xmlns:mc="http://schemas.openxmlformats.org/markup-compatibility/2006" xmlns:a14="http://schemas.microsoft.com/office/drawing/2010/main">
      <mc:Choice Requires="a14">
        <xdr:graphicFrame macro="">
          <xdr:nvGraphicFramePr>
            <xdr:cNvPr id="29" name="Risk Level ">
              <a:extLst>
                <a:ext uri="{FF2B5EF4-FFF2-40B4-BE49-F238E27FC236}">
                  <a16:creationId xmlns:a16="http://schemas.microsoft.com/office/drawing/2014/main" id="{6DF4C750-A37E-A4CE-58A6-CC38C274E5E2}"/>
                </a:ext>
              </a:extLst>
            </xdr:cNvPr>
            <xdr:cNvGraphicFramePr/>
          </xdr:nvGraphicFramePr>
          <xdr:xfrm>
            <a:off x="0" y="0"/>
            <a:ext cx="0" cy="0"/>
          </xdr:xfrm>
          <a:graphic>
            <a:graphicData uri="http://schemas.microsoft.com/office/drawing/2010/slicer">
              <sle:slicer xmlns:sle="http://schemas.microsoft.com/office/drawing/2010/slicer" name="Risk Level "/>
            </a:graphicData>
          </a:graphic>
        </xdr:graphicFrame>
      </mc:Choice>
      <mc:Fallback xmlns="">
        <xdr:sp macro="" textlink="">
          <xdr:nvSpPr>
            <xdr:cNvPr id="0" name=""/>
            <xdr:cNvSpPr>
              <a:spLocks noTextEdit="1"/>
            </xdr:cNvSpPr>
          </xdr:nvSpPr>
          <xdr:spPr>
            <a:xfrm>
              <a:off x="3487210" y="5105399"/>
              <a:ext cx="1504950" cy="1276353"/>
            </a:xfrm>
            <a:prstGeom prst="rect">
              <a:avLst/>
            </a:prstGeom>
            <a:solidFill>
              <a:prstClr val="white"/>
            </a:solidFill>
            <a:ln w="1">
              <a:solidFill>
                <a:prstClr val="green"/>
              </a:solidFill>
            </a:ln>
          </xdr:spPr>
          <xdr:txBody>
            <a:bodyPr vertOverflow="clip" horzOverflow="clip"/>
            <a:lstStyle/>
            <a:p>
              <a:r>
                <a:rPr lang="en-C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14</xdr:col>
      <xdr:colOff>541868</xdr:colOff>
      <xdr:row>10</xdr:row>
      <xdr:rowOff>4762</xdr:rowOff>
    </xdr:from>
    <xdr:to>
      <xdr:col>20</xdr:col>
      <xdr:colOff>381000</xdr:colOff>
      <xdr:row>24</xdr:row>
      <xdr:rowOff>80962</xdr:rowOff>
    </xdr:to>
    <xdr:graphicFrame macro="">
      <xdr:nvGraphicFramePr>
        <xdr:cNvPr id="67" name="Chart 10">
          <a:extLst>
            <a:ext uri="{FF2B5EF4-FFF2-40B4-BE49-F238E27FC236}">
              <a16:creationId xmlns:a16="http://schemas.microsoft.com/office/drawing/2014/main" id="{1A509693-AD4D-6A4B-C5D0-5DD2F7F85C6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Jacques le Roux" refreshedDate="46155.816421990741" createdVersion="8" refreshedVersion="8" minRefreshableVersion="3" recordCount="201" xr:uid="{C1B39852-518F-42F8-B0F8-CB1E13F1C297}">
  <cacheSource type="worksheet">
    <worksheetSource name="Table2"/>
  </cacheSource>
  <cacheFields count="16">
    <cacheField name="Policy ID" numFmtId="0">
      <sharedItems/>
    </cacheField>
    <cacheField name="Client Name" numFmtId="49">
      <sharedItems/>
    </cacheField>
    <cacheField name="Province" numFmtId="0">
      <sharedItems containsBlank="1" count="7">
        <s v="AB"/>
        <s v="ON"/>
        <s v="MB"/>
        <s v="BC"/>
        <m u="1"/>
        <s v="spic " u="1"/>
        <s v="NIGGER" u="1"/>
      </sharedItems>
    </cacheField>
    <cacheField name="Industry" numFmtId="0">
      <sharedItems count="12">
        <s v="Manufacturing"/>
        <s v="Construction"/>
        <s v="Energy"/>
        <s v="Agriculture"/>
        <s v="Technology"/>
        <s v="Healthcare"/>
        <s v="Hospitality"/>
        <s v="Transportation"/>
        <s v="Retail"/>
        <s v="Engineering"/>
        <s v="kike" u="1"/>
        <s v="nigger" u="1"/>
      </sharedItems>
    </cacheField>
    <cacheField name="Policy Type" numFmtId="0">
      <sharedItems containsBlank="1" count="8">
        <s v="Product Liability"/>
        <s v="Liability"/>
        <s v="Auto"/>
        <s v="Marine"/>
        <s v="Property"/>
        <m u="1"/>
        <s v="bitch " u="1"/>
        <s v="NIGGER " u="1"/>
      </sharedItems>
    </cacheField>
    <cacheField name="Premium" numFmtId="44">
      <sharedItems containsSemiMixedTypes="0" containsString="0" containsNumber="1" minValue="6038" maxValue="39976"/>
    </cacheField>
    <cacheField name="Coverage Limit" numFmtId="44">
      <sharedItems containsSemiMixedTypes="0" containsString="0" containsNumber="1" containsInteger="1" minValue="806117" maxValue="9999825"/>
    </cacheField>
    <cacheField name="Start Date" numFmtId="14">
      <sharedItems containsSemiMixedTypes="0" containsNonDate="0" containsDate="1" containsString="0" minDate="2025-01-03T00:00:00" maxDate="2025-12-29T00:00:00"/>
    </cacheField>
    <cacheField name="End Date" numFmtId="14">
      <sharedItems containsSemiMixedTypes="0" containsNonDate="0" containsDate="1" containsString="0" minDate="2026-01-03T00:00:00" maxDate="2026-12-28T00:00:00"/>
    </cacheField>
    <cacheField name="Policy Status " numFmtId="0">
      <sharedItems/>
    </cacheField>
    <cacheField name="Days Until Expiry" numFmtId="1">
      <sharedItems containsMixedTypes="1" containsNumber="1" containsInteger="1" minValue="1" maxValue="288"/>
    </cacheField>
    <cacheField name="Risk Level " numFmtId="49">
      <sharedItems containsBlank="1" count="5">
        <s v="Medium"/>
        <s v="Low"/>
        <s v="High"/>
        <m u="1"/>
        <s v="High " u="1"/>
      </sharedItems>
    </cacheField>
    <cacheField name="Claims Count" numFmtId="1">
      <sharedItems containsSemiMixedTypes="0" containsString="0" containsNumber="1" containsInteger="1" minValue="0" maxValue="6"/>
    </cacheField>
    <cacheField name=" Claims Frequency " numFmtId="0">
      <sharedItems/>
    </cacheField>
    <cacheField name="Final Risk Score " numFmtId="0">
      <sharedItems containsSemiMixedTypes="0" containsString="0" containsNumber="1" containsInteger="1" minValue="1" maxValue="6"/>
    </cacheField>
    <cacheField name="Final Risk Level" numFmtId="0">
      <sharedItems count="4">
        <s v="High"/>
        <s v="Medium"/>
        <s v="Low"/>
        <e v="#N/A" u="1"/>
      </sharedItems>
    </cacheField>
  </cacheFields>
  <extLst>
    <ext xmlns:x14="http://schemas.microsoft.com/office/spreadsheetml/2009/9/main" uri="{725AE2AE-9491-48be-B2B4-4EB974FC3084}">
      <x14:pivotCacheDefinition pivotCacheId="172368885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1">
  <r>
    <s v="P1001"/>
    <s v="UrbanBuild Contractors"/>
    <x v="0"/>
    <x v="0"/>
    <x v="0"/>
    <n v="34349"/>
    <n v="3991816"/>
    <d v="2025-05-28T00:00:00"/>
    <d v="2026-05-11T00:00:00"/>
    <s v="Active"/>
    <n v="58"/>
    <x v="0"/>
    <n v="3"/>
    <s v="High"/>
    <n v="5"/>
    <x v="0"/>
  </r>
  <r>
    <s v="P1002"/>
    <s v="Coastal Shipping Ltd"/>
    <x v="1"/>
    <x v="1"/>
    <x v="1"/>
    <n v="13219"/>
    <n v="8312832"/>
    <d v="2025-05-25T00:00:00"/>
    <d v="2026-01-16T00:00:00"/>
    <s v="Expired"/>
    <s v="Expired"/>
    <x v="1"/>
    <n v="4"/>
    <s v="High"/>
    <n v="4"/>
    <x v="1"/>
  </r>
  <r>
    <s v="P1003"/>
    <s v="Metro Auto Repairs"/>
    <x v="1"/>
    <x v="2"/>
    <x v="1"/>
    <n v="8260"/>
    <n v="5365959"/>
    <d v="2025-11-07T00:00:00"/>
    <d v="2026-08-26T00:00:00"/>
    <s v="Active"/>
    <n v="165"/>
    <x v="0"/>
    <n v="1"/>
    <s v="Normal"/>
    <n v="3"/>
    <x v="1"/>
  </r>
  <r>
    <s v="P1004"/>
    <s v="SilverLine Transport"/>
    <x v="2"/>
    <x v="3"/>
    <x v="0"/>
    <n v="15929"/>
    <n v="1004168"/>
    <d v="2025-10-27T00:00:00"/>
    <d v="2026-02-04T00:00:00"/>
    <s v="Expired"/>
    <s v="Expired"/>
    <x v="0"/>
    <n v="2"/>
    <s v="Normal"/>
    <n v="3"/>
    <x v="1"/>
  </r>
  <r>
    <s v="P1005"/>
    <s v="BlueSky Developers"/>
    <x v="2"/>
    <x v="4"/>
    <x v="1"/>
    <n v="10076"/>
    <n v="7171705"/>
    <d v="2025-09-02T00:00:00"/>
    <d v="2026-04-03T00:00:00"/>
    <s v="Expiring Soon"/>
    <n v="20"/>
    <x v="1"/>
    <n v="6"/>
    <s v="High"/>
    <n v="4"/>
    <x v="1"/>
  </r>
  <r>
    <s v="P1006"/>
    <s v="Sunrise Farms"/>
    <x v="2"/>
    <x v="4"/>
    <x v="0"/>
    <n v="30283"/>
    <n v="3825695"/>
    <d v="2025-10-20T00:00:00"/>
    <d v="2026-06-15T00:00:00"/>
    <s v="Active"/>
    <n v="93"/>
    <x v="0"/>
    <n v="4"/>
    <s v="High"/>
    <n v="5"/>
    <x v="0"/>
  </r>
  <r>
    <s v="P1007"/>
    <s v="Coastal Shipping Ltd"/>
    <x v="3"/>
    <x v="0"/>
    <x v="2"/>
    <n v="11431"/>
    <n v="7261724"/>
    <d v="2025-06-23T00:00:00"/>
    <d v="2026-08-11T00:00:00"/>
    <s v="Active"/>
    <n v="150"/>
    <x v="0"/>
    <n v="2"/>
    <s v="Normal"/>
    <n v="3"/>
    <x v="1"/>
  </r>
  <r>
    <s v="P1008"/>
    <s v="OceanView Hotels"/>
    <x v="0"/>
    <x v="2"/>
    <x v="0"/>
    <n v="15311"/>
    <n v="6753132"/>
    <d v="2025-01-15T00:00:00"/>
    <d v="2026-12-11T00:00:00"/>
    <s v="Active"/>
    <n v="272"/>
    <x v="1"/>
    <n v="1"/>
    <s v="Normal"/>
    <n v="2"/>
    <x v="2"/>
  </r>
  <r>
    <s v="P1009"/>
    <s v="Sunrise Farms"/>
    <x v="2"/>
    <x v="2"/>
    <x v="2"/>
    <n v="31834"/>
    <n v="2964443"/>
    <d v="2025-12-16T00:00:00"/>
    <d v="2026-05-01T00:00:00"/>
    <s v="Active"/>
    <n v="48"/>
    <x v="2"/>
    <n v="1"/>
    <s v="Normal"/>
    <n v="4"/>
    <x v="1"/>
  </r>
  <r>
    <s v="P1010"/>
    <s v="QuickCart Grocery"/>
    <x v="0"/>
    <x v="5"/>
    <x v="0"/>
    <n v="23990"/>
    <n v="3489252"/>
    <d v="2025-10-20T00:00:00"/>
    <d v="2026-06-18T00:00:00"/>
    <s v="Active"/>
    <n v="96"/>
    <x v="1"/>
    <n v="3"/>
    <s v="High"/>
    <n v="4"/>
    <x v="1"/>
  </r>
  <r>
    <s v="P1011"/>
    <s v="BlueSky Developers"/>
    <x v="0"/>
    <x v="6"/>
    <x v="1"/>
    <n v="35759"/>
    <n v="1538810"/>
    <d v="2025-10-20T00:00:00"/>
    <d v="2026-10-05T00:00:00"/>
    <s v="Active"/>
    <n v="205"/>
    <x v="0"/>
    <n v="1"/>
    <s v="Normal"/>
    <n v="3"/>
    <x v="1"/>
  </r>
  <r>
    <s v="P1012"/>
    <s v="Vertex Health Systems"/>
    <x v="3"/>
    <x v="0"/>
    <x v="1"/>
    <n v="6038"/>
    <n v="6451997"/>
    <d v="2025-12-07T00:00:00"/>
    <d v="2026-05-25T00:00:00"/>
    <s v="Active"/>
    <n v="72"/>
    <x v="0"/>
    <n v="5"/>
    <s v="High"/>
    <n v="5"/>
    <x v="0"/>
  </r>
  <r>
    <s v="P1013"/>
    <s v="Coastal Shipping Ltd"/>
    <x v="3"/>
    <x v="3"/>
    <x v="2"/>
    <n v="27518"/>
    <n v="5624855"/>
    <d v="2025-11-14T00:00:00"/>
    <d v="2026-10-24T00:00:00"/>
    <s v="Active"/>
    <n v="224"/>
    <x v="1"/>
    <n v="3"/>
    <s v="High"/>
    <n v="4"/>
    <x v="1"/>
  </r>
  <r>
    <s v="P1014"/>
    <s v="UrbanCare Clinics"/>
    <x v="2"/>
    <x v="6"/>
    <x v="0"/>
    <n v="26036"/>
    <n v="1308070"/>
    <d v="2025-01-14T00:00:00"/>
    <d v="2026-03-14T00:00:00"/>
    <s v="Expired"/>
    <s v="Expired"/>
    <x v="2"/>
    <n v="4"/>
    <s v="High"/>
    <n v="6"/>
    <x v="0"/>
  </r>
  <r>
    <s v="P1015"/>
    <s v="NorthPeak Engineering"/>
    <x v="0"/>
    <x v="3"/>
    <x v="3"/>
    <n v="21758"/>
    <n v="8659161"/>
    <d v="2025-01-13T00:00:00"/>
    <d v="2026-07-05T00:00:00"/>
    <s v="Active"/>
    <n v="113"/>
    <x v="2"/>
    <n v="6"/>
    <s v="High"/>
    <n v="6"/>
    <x v="0"/>
  </r>
  <r>
    <s v="P1016"/>
    <s v="NorthPeak Engineering"/>
    <x v="2"/>
    <x v="3"/>
    <x v="2"/>
    <n v="21884"/>
    <n v="1853170"/>
    <d v="2025-02-13T00:00:00"/>
    <d v="2026-04-23T00:00:00"/>
    <s v="Active"/>
    <n v="40"/>
    <x v="2"/>
    <n v="3"/>
    <s v="High"/>
    <n v="6"/>
    <x v="0"/>
  </r>
  <r>
    <s v="P1017"/>
    <s v="GreenLeaf Retail"/>
    <x v="0"/>
    <x v="3"/>
    <x v="4"/>
    <n v="23731"/>
    <n v="4280339"/>
    <d v="2025-09-21T00:00:00"/>
    <d v="2026-01-13T00:00:00"/>
    <s v="Expired"/>
    <s v="Expired"/>
    <x v="2"/>
    <n v="2"/>
    <s v="Normal"/>
    <n v="4"/>
    <x v="1"/>
  </r>
  <r>
    <s v="P1018"/>
    <s v="Metro Auto Repairs"/>
    <x v="0"/>
    <x v="5"/>
    <x v="2"/>
    <n v="12484"/>
    <n v="6931416"/>
    <d v="2025-04-13T00:00:00"/>
    <d v="2026-01-14T00:00:00"/>
    <s v="Expired"/>
    <s v="Expired"/>
    <x v="0"/>
    <n v="2"/>
    <s v="Normal"/>
    <n v="3"/>
    <x v="1"/>
  </r>
  <r>
    <s v="P1019"/>
    <s v="NorthStar Builders"/>
    <x v="3"/>
    <x v="6"/>
    <x v="4"/>
    <n v="34200"/>
    <n v="2003902"/>
    <d v="2025-09-24T00:00:00"/>
    <d v="2026-12-09T00:00:00"/>
    <s v="Active"/>
    <n v="270"/>
    <x v="1"/>
    <n v="5"/>
    <s v="High"/>
    <n v="4"/>
    <x v="1"/>
  </r>
  <r>
    <s v="P1020"/>
    <s v="UrbanCare Clinics"/>
    <x v="1"/>
    <x v="5"/>
    <x v="4"/>
    <n v="14757"/>
    <n v="6468539"/>
    <d v="2025-09-27T00:00:00"/>
    <d v="2026-05-17T00:00:00"/>
    <s v="Active"/>
    <n v="64"/>
    <x v="2"/>
    <n v="6"/>
    <s v="High"/>
    <n v="6"/>
    <x v="0"/>
  </r>
  <r>
    <s v="P1021"/>
    <s v="NorthPeak Engineering"/>
    <x v="0"/>
    <x v="6"/>
    <x v="0"/>
    <n v="11513"/>
    <n v="5129479"/>
    <d v="2025-10-07T00:00:00"/>
    <d v="2026-07-15T00:00:00"/>
    <s v="Active"/>
    <n v="123"/>
    <x v="2"/>
    <n v="3"/>
    <s v="High"/>
    <n v="6"/>
    <x v="0"/>
  </r>
  <r>
    <s v="P1022"/>
    <s v="EverGreen Foods"/>
    <x v="3"/>
    <x v="7"/>
    <x v="4"/>
    <n v="21679"/>
    <n v="8881655"/>
    <d v="2025-11-01T00:00:00"/>
    <d v="2026-04-16T00:00:00"/>
    <s v="Active"/>
    <n v="33"/>
    <x v="0"/>
    <n v="0"/>
    <s v="Normal"/>
    <n v="2"/>
    <x v="2"/>
  </r>
  <r>
    <s v="P1023"/>
    <s v="Sunrise Farms"/>
    <x v="0"/>
    <x v="8"/>
    <x v="1"/>
    <n v="32866"/>
    <n v="8363252"/>
    <d v="2025-08-20T00:00:00"/>
    <d v="2026-10-21T00:00:00"/>
    <s v="Active"/>
    <n v="221"/>
    <x v="0"/>
    <n v="5"/>
    <s v="High"/>
    <n v="5"/>
    <x v="0"/>
  </r>
  <r>
    <s v="P1024"/>
    <s v="UrbanBuild Contractors"/>
    <x v="2"/>
    <x v="9"/>
    <x v="4"/>
    <n v="28860"/>
    <n v="9087113"/>
    <d v="2025-06-18T00:00:00"/>
    <d v="2026-01-28T00:00:00"/>
    <s v="Expired"/>
    <s v="Expired"/>
    <x v="1"/>
    <n v="3"/>
    <s v="High"/>
    <n v="4"/>
    <x v="1"/>
  </r>
  <r>
    <s v="P1025"/>
    <s v="TrueNorth Logistics"/>
    <x v="2"/>
    <x v="5"/>
    <x v="2"/>
    <n v="39534"/>
    <n v="7050679"/>
    <d v="2025-06-04T00:00:00"/>
    <d v="2026-02-26T00:00:00"/>
    <s v="Expired"/>
    <s v="Expired"/>
    <x v="1"/>
    <n v="0"/>
    <s v="Normal"/>
    <n v="1"/>
    <x v="2"/>
  </r>
  <r>
    <s v="P1026"/>
    <s v="FreshMart Distribution"/>
    <x v="3"/>
    <x v="2"/>
    <x v="3"/>
    <n v="26437"/>
    <n v="7114952"/>
    <d v="2025-04-11T00:00:00"/>
    <d v="2026-04-09T00:00:00"/>
    <s v="Expiring Soon"/>
    <n v="26"/>
    <x v="1"/>
    <n v="6"/>
    <s v="High"/>
    <n v="4"/>
    <x v="1"/>
  </r>
  <r>
    <s v="P1027"/>
    <s v="BlueSky Developers"/>
    <x v="2"/>
    <x v="6"/>
    <x v="0"/>
    <n v="12768"/>
    <n v="4517061"/>
    <d v="2025-05-20T00:00:00"/>
    <d v="2026-12-04T00:00:00"/>
    <s v="Active"/>
    <n v="265"/>
    <x v="1"/>
    <n v="1"/>
    <s v="Normal"/>
    <n v="2"/>
    <x v="2"/>
  </r>
  <r>
    <s v="P1028"/>
    <s v="EverGreen Foods"/>
    <x v="2"/>
    <x v="0"/>
    <x v="0"/>
    <n v="37630"/>
    <n v="7573529"/>
    <d v="2025-05-07T00:00:00"/>
    <d v="2026-04-27T00:00:00"/>
    <s v="Active"/>
    <n v="44"/>
    <x v="2"/>
    <n v="0"/>
    <s v="Normal"/>
    <n v="3"/>
    <x v="1"/>
  </r>
  <r>
    <s v="P1029"/>
    <s v="Sunrise Farms"/>
    <x v="2"/>
    <x v="4"/>
    <x v="2"/>
    <n v="13121"/>
    <n v="3468291"/>
    <d v="2025-07-22T00:00:00"/>
    <d v="2026-09-07T00:00:00"/>
    <s v="Active"/>
    <n v="177"/>
    <x v="2"/>
    <n v="2"/>
    <s v="Normal"/>
    <n v="4"/>
    <x v="1"/>
  </r>
  <r>
    <s v="P1030"/>
    <s v="Peak Energy Systems"/>
    <x v="1"/>
    <x v="1"/>
    <x v="0"/>
    <n v="35356"/>
    <n v="3368949"/>
    <d v="2025-12-04T00:00:00"/>
    <d v="2026-09-04T00:00:00"/>
    <s v="Active"/>
    <n v="174"/>
    <x v="0"/>
    <n v="3"/>
    <s v="High"/>
    <n v="5"/>
    <x v="0"/>
  </r>
  <r>
    <s v="P1031"/>
    <s v="NorthStar Builders"/>
    <x v="1"/>
    <x v="0"/>
    <x v="0"/>
    <n v="33680"/>
    <n v="8529563"/>
    <d v="2025-02-10T00:00:00"/>
    <d v="2026-12-20T00:00:00"/>
    <s v="Active"/>
    <n v="281"/>
    <x v="2"/>
    <n v="4"/>
    <s v="High"/>
    <n v="6"/>
    <x v="0"/>
  </r>
  <r>
    <s v="P1032"/>
    <s v="UrbanCare Clinics"/>
    <x v="1"/>
    <x v="2"/>
    <x v="1"/>
    <n v="11229"/>
    <n v="6107459"/>
    <d v="2025-11-21T00:00:00"/>
    <d v="2026-07-12T00:00:00"/>
    <s v="Active"/>
    <n v="120"/>
    <x v="0"/>
    <n v="6"/>
    <s v="High"/>
    <n v="5"/>
    <x v="0"/>
  </r>
  <r>
    <s v="P1033"/>
    <s v="SilverLine Transport"/>
    <x v="0"/>
    <x v="3"/>
    <x v="0"/>
    <n v="32204"/>
    <n v="3250074"/>
    <d v="2025-01-14T00:00:00"/>
    <d v="2026-11-12T00:00:00"/>
    <s v="Active"/>
    <n v="243"/>
    <x v="0"/>
    <n v="5"/>
    <s v="High"/>
    <n v="5"/>
    <x v="0"/>
  </r>
  <r>
    <s v="P1034"/>
    <s v="UrbanBuild Contractors"/>
    <x v="2"/>
    <x v="4"/>
    <x v="0"/>
    <n v="17454"/>
    <n v="2778249"/>
    <d v="2025-12-28T00:00:00"/>
    <d v="2026-09-19T00:00:00"/>
    <s v="Active"/>
    <n v="189"/>
    <x v="0"/>
    <n v="6"/>
    <s v="High"/>
    <n v="5"/>
    <x v="0"/>
  </r>
  <r>
    <s v="P1035"/>
    <s v="NorthPeak Engineering"/>
    <x v="3"/>
    <x v="6"/>
    <x v="4"/>
    <n v="29182"/>
    <n v="6439829"/>
    <d v="2025-03-09T00:00:00"/>
    <d v="2026-02-21T00:00:00"/>
    <s v="Expired"/>
    <s v="Expired"/>
    <x v="0"/>
    <n v="1"/>
    <s v="Normal"/>
    <n v="3"/>
    <x v="1"/>
  </r>
  <r>
    <s v="P1036"/>
    <s v="MapleTech Solutions"/>
    <x v="0"/>
    <x v="2"/>
    <x v="1"/>
    <n v="30711"/>
    <n v="4398399"/>
    <d v="2025-04-08T00:00:00"/>
    <d v="2026-12-22T00:00:00"/>
    <s v="Active"/>
    <n v="283"/>
    <x v="2"/>
    <n v="0"/>
    <s v="Normal"/>
    <n v="3"/>
    <x v="1"/>
  </r>
  <r>
    <s v="P1037"/>
    <s v="SilverLine Transport"/>
    <x v="3"/>
    <x v="2"/>
    <x v="0"/>
    <n v="12475"/>
    <n v="1204510"/>
    <d v="2025-04-15T00:00:00"/>
    <d v="2026-10-08T00:00:00"/>
    <s v="Active"/>
    <n v="208"/>
    <x v="0"/>
    <n v="2"/>
    <s v="Normal"/>
    <n v="3"/>
    <x v="1"/>
  </r>
  <r>
    <s v="P1038"/>
    <s v="Coastal Shipping Ltd"/>
    <x v="3"/>
    <x v="4"/>
    <x v="3"/>
    <n v="14115"/>
    <n v="8778308"/>
    <d v="2025-04-05T00:00:00"/>
    <d v="2026-02-24T00:00:00"/>
    <s v="Expired"/>
    <s v="Expired"/>
    <x v="0"/>
    <n v="0"/>
    <s v="Normal"/>
    <n v="2"/>
    <x v="2"/>
  </r>
  <r>
    <s v="P1039"/>
    <s v="UrbanBuild Contractors"/>
    <x v="2"/>
    <x v="0"/>
    <x v="4"/>
    <n v="22454"/>
    <n v="3049620"/>
    <d v="2025-07-18T00:00:00"/>
    <d v="2026-07-28T00:00:00"/>
    <s v="Active"/>
    <n v="136"/>
    <x v="2"/>
    <n v="0"/>
    <s v="Normal"/>
    <n v="3"/>
    <x v="1"/>
  </r>
  <r>
    <s v="P1040"/>
    <s v="ClearWater Utilities"/>
    <x v="1"/>
    <x v="7"/>
    <x v="0"/>
    <n v="31123"/>
    <n v="9198700"/>
    <d v="2025-02-17T00:00:00"/>
    <d v="2026-12-17T00:00:00"/>
    <s v="Active"/>
    <n v="278"/>
    <x v="1"/>
    <n v="0"/>
    <s v="Normal"/>
    <n v="1"/>
    <x v="2"/>
  </r>
  <r>
    <s v="P1041"/>
    <s v="Metro Auto Repairs"/>
    <x v="2"/>
    <x v="6"/>
    <x v="4"/>
    <n v="32368"/>
    <n v="6132479"/>
    <d v="2025-03-11T00:00:00"/>
    <d v="2026-04-02T00:00:00"/>
    <s v="Expiring Soon"/>
    <n v="19"/>
    <x v="1"/>
    <n v="6"/>
    <s v="High"/>
    <n v="4"/>
    <x v="1"/>
  </r>
  <r>
    <s v="P1042"/>
    <s v="BlueSky Developers"/>
    <x v="1"/>
    <x v="0"/>
    <x v="0"/>
    <n v="35732"/>
    <n v="1427213"/>
    <d v="2025-02-22T00:00:00"/>
    <d v="2026-09-01T00:00:00"/>
    <s v="Active"/>
    <n v="171"/>
    <x v="1"/>
    <n v="3"/>
    <s v="High"/>
    <n v="4"/>
    <x v="1"/>
  </r>
  <r>
    <s v="P1043"/>
    <s v="QuickCart Grocery"/>
    <x v="0"/>
    <x v="2"/>
    <x v="3"/>
    <n v="8163"/>
    <n v="2341709"/>
    <d v="2025-01-09T00:00:00"/>
    <d v="2026-08-06T00:00:00"/>
    <s v="Active"/>
    <n v="145"/>
    <x v="1"/>
    <n v="6"/>
    <s v="High"/>
    <n v="4"/>
    <x v="1"/>
  </r>
  <r>
    <s v="P1044"/>
    <s v="NorthStar Builders"/>
    <x v="3"/>
    <x v="5"/>
    <x v="3"/>
    <n v="24971"/>
    <n v="8548731"/>
    <d v="2025-05-25T00:00:00"/>
    <d v="2026-02-28T00:00:00"/>
    <s v="Expired"/>
    <s v="Expired"/>
    <x v="1"/>
    <n v="6"/>
    <s v="High"/>
    <n v="4"/>
    <x v="1"/>
  </r>
  <r>
    <s v="P1045"/>
    <s v="OceanView Hotels"/>
    <x v="0"/>
    <x v="2"/>
    <x v="0"/>
    <n v="23681"/>
    <n v="1699979"/>
    <d v="2025-01-19T00:00:00"/>
    <d v="2026-01-17T00:00:00"/>
    <s v="Expired"/>
    <s v="Expired"/>
    <x v="0"/>
    <n v="2"/>
    <s v="Normal"/>
    <n v="3"/>
    <x v="1"/>
  </r>
  <r>
    <s v="P1046"/>
    <s v="Sunrise Farms"/>
    <x v="1"/>
    <x v="1"/>
    <x v="2"/>
    <n v="7549"/>
    <n v="8417549"/>
    <d v="2025-07-15T00:00:00"/>
    <d v="2026-12-05T00:00:00"/>
    <s v="Active"/>
    <n v="266"/>
    <x v="0"/>
    <n v="1"/>
    <s v="Normal"/>
    <n v="3"/>
    <x v="1"/>
  </r>
  <r>
    <s v="P1047"/>
    <s v="SilverLine Transport"/>
    <x v="3"/>
    <x v="0"/>
    <x v="0"/>
    <n v="11907"/>
    <n v="7736624"/>
    <d v="2025-08-01T00:00:00"/>
    <d v="2026-05-08T00:00:00"/>
    <s v="Active"/>
    <n v="55"/>
    <x v="0"/>
    <n v="2"/>
    <s v="Normal"/>
    <n v="3"/>
    <x v="1"/>
  </r>
  <r>
    <s v="P1048"/>
    <s v="UrbanCare Clinics"/>
    <x v="0"/>
    <x v="9"/>
    <x v="3"/>
    <n v="32018"/>
    <n v="9801202"/>
    <d v="2025-06-12T00:00:00"/>
    <d v="2026-12-18T00:00:00"/>
    <s v="Active"/>
    <n v="279"/>
    <x v="0"/>
    <n v="4"/>
    <s v="High"/>
    <n v="5"/>
    <x v="0"/>
  </r>
  <r>
    <s v="P1049"/>
    <s v="EverGreen Foods"/>
    <x v="2"/>
    <x v="8"/>
    <x v="3"/>
    <n v="22416"/>
    <n v="3507977"/>
    <d v="2025-03-08T00:00:00"/>
    <d v="2026-07-16T00:00:00"/>
    <s v="Active"/>
    <n v="124"/>
    <x v="2"/>
    <n v="1"/>
    <s v="Normal"/>
    <n v="4"/>
    <x v="1"/>
  </r>
  <r>
    <s v="P1050"/>
    <s v="Sunrise Farms"/>
    <x v="1"/>
    <x v="3"/>
    <x v="4"/>
    <n v="30693"/>
    <n v="3442703"/>
    <d v="2025-04-11T00:00:00"/>
    <d v="2026-12-27T00:00:00"/>
    <s v="Active"/>
    <n v="288"/>
    <x v="0"/>
    <n v="6"/>
    <s v="High"/>
    <n v="5"/>
    <x v="0"/>
  </r>
  <r>
    <s v="P1051"/>
    <s v="Peak Energy Systems"/>
    <x v="0"/>
    <x v="8"/>
    <x v="2"/>
    <n v="15356"/>
    <n v="9999825"/>
    <d v="2025-07-19T00:00:00"/>
    <d v="2026-12-08T00:00:00"/>
    <s v="Active"/>
    <n v="269"/>
    <x v="2"/>
    <n v="1"/>
    <s v="Normal"/>
    <n v="4"/>
    <x v="1"/>
  </r>
  <r>
    <s v="P1052"/>
    <s v="ClearWater Utilities"/>
    <x v="3"/>
    <x v="5"/>
    <x v="2"/>
    <n v="23737"/>
    <n v="3155885"/>
    <d v="2025-09-02T00:00:00"/>
    <d v="2026-07-12T00:00:00"/>
    <s v="Active"/>
    <n v="120"/>
    <x v="2"/>
    <n v="1"/>
    <s v="Normal"/>
    <n v="4"/>
    <x v="1"/>
  </r>
  <r>
    <s v="P1053"/>
    <s v="EverGreen Foods"/>
    <x v="3"/>
    <x v="3"/>
    <x v="3"/>
    <n v="26408"/>
    <n v="3816554"/>
    <d v="2025-02-15T00:00:00"/>
    <d v="2026-12-22T00:00:00"/>
    <s v="Active"/>
    <n v="283"/>
    <x v="0"/>
    <n v="4"/>
    <s v="High"/>
    <n v="5"/>
    <x v="0"/>
  </r>
  <r>
    <s v="P1054"/>
    <s v="SilverLine Transport"/>
    <x v="0"/>
    <x v="8"/>
    <x v="0"/>
    <n v="15101"/>
    <n v="6325717"/>
    <d v="2025-11-10T00:00:00"/>
    <d v="2026-09-12T00:00:00"/>
    <s v="Active"/>
    <n v="182"/>
    <x v="0"/>
    <n v="0"/>
    <s v="Normal"/>
    <n v="2"/>
    <x v="2"/>
  </r>
  <r>
    <s v="P1055"/>
    <s v="BlueSky Developers"/>
    <x v="0"/>
    <x v="9"/>
    <x v="2"/>
    <n v="26385"/>
    <n v="1967308"/>
    <d v="2025-08-26T00:00:00"/>
    <d v="2026-10-26T00:00:00"/>
    <s v="Active"/>
    <n v="226"/>
    <x v="0"/>
    <n v="0"/>
    <s v="Normal"/>
    <n v="2"/>
    <x v="2"/>
  </r>
  <r>
    <s v="P1056"/>
    <s v="Vertex Health Systems"/>
    <x v="3"/>
    <x v="2"/>
    <x v="2"/>
    <n v="7793"/>
    <n v="4278712"/>
    <d v="2025-12-26T00:00:00"/>
    <d v="2026-05-12T00:00:00"/>
    <s v="Active"/>
    <n v="59"/>
    <x v="0"/>
    <n v="6"/>
    <s v="High"/>
    <n v="5"/>
    <x v="0"/>
  </r>
  <r>
    <s v="P1057"/>
    <s v="NorthPeak Engineering"/>
    <x v="2"/>
    <x v="0"/>
    <x v="1"/>
    <n v="17609"/>
    <n v="5275565"/>
    <d v="2025-02-15T00:00:00"/>
    <d v="2026-11-08T00:00:00"/>
    <s v="Active"/>
    <n v="239"/>
    <x v="0"/>
    <n v="6"/>
    <s v="High"/>
    <n v="5"/>
    <x v="0"/>
  </r>
  <r>
    <s v="P1058"/>
    <s v="FreshMart Distribution"/>
    <x v="0"/>
    <x v="6"/>
    <x v="3"/>
    <n v="15821"/>
    <n v="4240296"/>
    <d v="2025-03-16T00:00:00"/>
    <d v="2026-06-18T00:00:00"/>
    <s v="Active"/>
    <n v="96"/>
    <x v="1"/>
    <n v="2"/>
    <s v="Normal"/>
    <n v="2"/>
    <x v="2"/>
  </r>
  <r>
    <s v="P1059"/>
    <s v="Sunrise Farms"/>
    <x v="3"/>
    <x v="7"/>
    <x v="1"/>
    <n v="8607"/>
    <n v="7256996"/>
    <d v="2025-04-11T00:00:00"/>
    <d v="2026-03-25T00:00:00"/>
    <s v="Expiring Soon"/>
    <n v="11"/>
    <x v="2"/>
    <n v="6"/>
    <s v="High"/>
    <n v="6"/>
    <x v="0"/>
  </r>
  <r>
    <s v="P1060"/>
    <s v="FreshMart Distribution"/>
    <x v="1"/>
    <x v="1"/>
    <x v="4"/>
    <n v="39618"/>
    <n v="7519959"/>
    <d v="2025-02-18T00:00:00"/>
    <d v="2026-04-09T00:00:00"/>
    <s v="Expiring Soon"/>
    <n v="26"/>
    <x v="2"/>
    <n v="1"/>
    <s v="Normal"/>
    <n v="4"/>
    <x v="1"/>
  </r>
  <r>
    <s v="P1061"/>
    <s v="SilverLine Transport"/>
    <x v="3"/>
    <x v="3"/>
    <x v="1"/>
    <n v="30349"/>
    <n v="1844319"/>
    <d v="2025-06-28T00:00:00"/>
    <d v="2026-08-10T00:00:00"/>
    <s v="Active"/>
    <n v="149"/>
    <x v="0"/>
    <n v="6"/>
    <s v="High"/>
    <n v="5"/>
    <x v="0"/>
  </r>
  <r>
    <s v="P1062"/>
    <s v="Sunrise Farms"/>
    <x v="1"/>
    <x v="6"/>
    <x v="4"/>
    <n v="19513"/>
    <n v="3852336"/>
    <d v="2025-01-22T00:00:00"/>
    <d v="2026-03-27T00:00:00"/>
    <s v="Expiring Soon"/>
    <n v="13"/>
    <x v="0"/>
    <n v="5"/>
    <s v="High"/>
    <n v="5"/>
    <x v="0"/>
  </r>
  <r>
    <s v="P1063"/>
    <s v="OceanView Hotels"/>
    <x v="1"/>
    <x v="6"/>
    <x v="1"/>
    <n v="34683"/>
    <n v="8316442"/>
    <d v="2025-05-07T00:00:00"/>
    <d v="2026-09-23T00:00:00"/>
    <s v="Active"/>
    <n v="193"/>
    <x v="0"/>
    <n v="2"/>
    <s v="Normal"/>
    <n v="3"/>
    <x v="1"/>
  </r>
  <r>
    <s v="P1064"/>
    <s v="Coastal Shipping Ltd"/>
    <x v="2"/>
    <x v="6"/>
    <x v="3"/>
    <n v="14046"/>
    <n v="8513520"/>
    <d v="2025-01-22T00:00:00"/>
    <d v="2026-01-03T00:00:00"/>
    <s v="Expired"/>
    <s v="Expired"/>
    <x v="2"/>
    <n v="4"/>
    <s v="High"/>
    <n v="6"/>
    <x v="0"/>
  </r>
  <r>
    <s v="P1065"/>
    <s v="Sunrise Farms"/>
    <x v="0"/>
    <x v="2"/>
    <x v="4"/>
    <n v="21283"/>
    <n v="6612031"/>
    <d v="2025-06-26T00:00:00"/>
    <d v="2026-11-09T00:00:00"/>
    <s v="Active"/>
    <n v="240"/>
    <x v="0"/>
    <n v="5"/>
    <s v="High"/>
    <n v="5"/>
    <x v="0"/>
  </r>
  <r>
    <s v="P1066"/>
    <s v="GreenLeaf Retail"/>
    <x v="1"/>
    <x v="8"/>
    <x v="4"/>
    <n v="18082"/>
    <n v="6899201"/>
    <d v="2025-07-20T00:00:00"/>
    <d v="2026-01-21T00:00:00"/>
    <s v="Expired"/>
    <s v="Expired"/>
    <x v="0"/>
    <n v="5"/>
    <s v="High"/>
    <n v="5"/>
    <x v="0"/>
  </r>
  <r>
    <s v="P1067"/>
    <s v="SilverLine Transport"/>
    <x v="3"/>
    <x v="0"/>
    <x v="3"/>
    <n v="10288"/>
    <n v="7795928"/>
    <d v="2025-01-10T00:00:00"/>
    <d v="2026-11-26T00:00:00"/>
    <s v="Active"/>
    <n v="257"/>
    <x v="2"/>
    <n v="4"/>
    <s v="High"/>
    <n v="6"/>
    <x v="0"/>
  </r>
  <r>
    <s v="P1068"/>
    <s v="Vertex Health Systems"/>
    <x v="0"/>
    <x v="6"/>
    <x v="1"/>
    <n v="16901"/>
    <n v="8085799"/>
    <d v="2025-10-08T00:00:00"/>
    <d v="2026-03-12T00:00:00"/>
    <s v="Expired"/>
    <s v="Expired"/>
    <x v="2"/>
    <n v="1"/>
    <s v="Normal"/>
    <n v="4"/>
    <x v="1"/>
  </r>
  <r>
    <s v="P1069"/>
    <s v="Metro Auto Repairs"/>
    <x v="1"/>
    <x v="8"/>
    <x v="1"/>
    <n v="20421"/>
    <n v="3228795"/>
    <d v="2025-08-24T00:00:00"/>
    <d v="2026-07-06T00:00:00"/>
    <s v="Active"/>
    <n v="114"/>
    <x v="1"/>
    <n v="4"/>
    <s v="High"/>
    <n v="4"/>
    <x v="1"/>
  </r>
  <r>
    <s v="P1070"/>
    <s v="QuickCart Grocery"/>
    <x v="2"/>
    <x v="5"/>
    <x v="4"/>
    <n v="17258"/>
    <n v="8453980"/>
    <d v="2025-06-06T00:00:00"/>
    <d v="2026-01-05T00:00:00"/>
    <s v="Expired"/>
    <s v="Expired"/>
    <x v="1"/>
    <n v="5"/>
    <s v="High"/>
    <n v="4"/>
    <x v="1"/>
  </r>
  <r>
    <s v="P1071"/>
    <s v="MapleTech Solutions"/>
    <x v="2"/>
    <x v="3"/>
    <x v="0"/>
    <n v="39142"/>
    <n v="3662755"/>
    <d v="2025-06-03T00:00:00"/>
    <d v="2026-09-28T00:00:00"/>
    <s v="Active"/>
    <n v="198"/>
    <x v="1"/>
    <n v="6"/>
    <s v="High"/>
    <n v="4"/>
    <x v="1"/>
  </r>
  <r>
    <s v="P1072"/>
    <s v="TrueNorth Logistics"/>
    <x v="0"/>
    <x v="2"/>
    <x v="2"/>
    <n v="8317"/>
    <n v="4061116"/>
    <d v="2025-08-16T00:00:00"/>
    <d v="2026-03-28T00:00:00"/>
    <s v="Expiring Soon"/>
    <n v="14"/>
    <x v="1"/>
    <n v="6"/>
    <s v="High"/>
    <n v="4"/>
    <x v="1"/>
  </r>
  <r>
    <s v="P1073"/>
    <s v="NorthPeak Engineering"/>
    <x v="2"/>
    <x v="5"/>
    <x v="0"/>
    <n v="18215"/>
    <n v="6830208"/>
    <d v="2025-11-19T00:00:00"/>
    <d v="2026-09-16T00:00:00"/>
    <s v="Active"/>
    <n v="186"/>
    <x v="0"/>
    <n v="3"/>
    <s v="High"/>
    <n v="5"/>
    <x v="0"/>
  </r>
  <r>
    <s v="P1074"/>
    <s v="GreenLeaf Retail"/>
    <x v="2"/>
    <x v="3"/>
    <x v="4"/>
    <n v="34902"/>
    <n v="3366527"/>
    <d v="2025-04-24T00:00:00"/>
    <d v="2026-03-08T00:00:00"/>
    <s v="Expired"/>
    <s v="Expired"/>
    <x v="0"/>
    <n v="4"/>
    <s v="High"/>
    <n v="5"/>
    <x v="0"/>
  </r>
  <r>
    <s v="P1075"/>
    <s v="Sunrise Farms"/>
    <x v="0"/>
    <x v="1"/>
    <x v="3"/>
    <n v="12936"/>
    <n v="2343414"/>
    <d v="2025-04-04T00:00:00"/>
    <d v="2026-06-19T00:00:00"/>
    <s v="Active"/>
    <n v="97"/>
    <x v="1"/>
    <n v="5"/>
    <s v="High"/>
    <n v="4"/>
    <x v="1"/>
  </r>
  <r>
    <s v="P1076"/>
    <s v="BlueSky Developers"/>
    <x v="0"/>
    <x v="1"/>
    <x v="4"/>
    <n v="36982"/>
    <n v="4710730"/>
    <d v="2025-09-17T00:00:00"/>
    <d v="2026-08-07T00:00:00"/>
    <s v="Active"/>
    <n v="146"/>
    <x v="0"/>
    <n v="6"/>
    <s v="High"/>
    <n v="5"/>
    <x v="0"/>
  </r>
  <r>
    <s v="P1077"/>
    <s v="NorthPeak Engineering"/>
    <x v="2"/>
    <x v="2"/>
    <x v="0"/>
    <n v="11083"/>
    <n v="9062112"/>
    <d v="2025-04-22T00:00:00"/>
    <d v="2026-04-01T00:00:00"/>
    <s v="Expiring Soon"/>
    <n v="18"/>
    <x v="0"/>
    <n v="2"/>
    <s v="Normal"/>
    <n v="3"/>
    <x v="1"/>
  </r>
  <r>
    <s v="P1078"/>
    <s v="NorthStar Builders"/>
    <x v="2"/>
    <x v="7"/>
    <x v="2"/>
    <n v="21922"/>
    <n v="3220154"/>
    <d v="2025-10-20T00:00:00"/>
    <d v="2026-10-27T00:00:00"/>
    <s v="Active"/>
    <n v="227"/>
    <x v="0"/>
    <n v="6"/>
    <s v="High"/>
    <n v="5"/>
    <x v="0"/>
  </r>
  <r>
    <s v="P1079"/>
    <s v="Metro Auto Repairs"/>
    <x v="2"/>
    <x v="5"/>
    <x v="3"/>
    <n v="28381"/>
    <n v="4203063"/>
    <d v="2025-11-28T00:00:00"/>
    <d v="2026-06-02T00:00:00"/>
    <s v="Active"/>
    <n v="80"/>
    <x v="1"/>
    <n v="4"/>
    <s v="High"/>
    <n v="4"/>
    <x v="1"/>
  </r>
  <r>
    <s v="P1080"/>
    <s v="GreenLeaf Retail"/>
    <x v="1"/>
    <x v="6"/>
    <x v="4"/>
    <n v="13287"/>
    <n v="9454589"/>
    <d v="2025-12-20T00:00:00"/>
    <d v="2026-01-19T00:00:00"/>
    <s v="Expired"/>
    <s v="Expired"/>
    <x v="1"/>
    <n v="6"/>
    <s v="High"/>
    <n v="4"/>
    <x v="1"/>
  </r>
  <r>
    <s v="P1081"/>
    <s v="MapleTech Solutions"/>
    <x v="0"/>
    <x v="0"/>
    <x v="2"/>
    <n v="15833"/>
    <n v="1643081"/>
    <d v="2025-06-21T00:00:00"/>
    <d v="2026-05-05T00:00:00"/>
    <s v="Active"/>
    <n v="52"/>
    <x v="1"/>
    <n v="3"/>
    <s v="High"/>
    <n v="4"/>
    <x v="1"/>
  </r>
  <r>
    <s v="P1082"/>
    <s v="TrueNorth Logistics"/>
    <x v="2"/>
    <x v="6"/>
    <x v="4"/>
    <n v="16813"/>
    <n v="2769108"/>
    <d v="2025-11-20T00:00:00"/>
    <d v="2026-12-18T00:00:00"/>
    <s v="Active"/>
    <n v="279"/>
    <x v="0"/>
    <n v="2"/>
    <s v="Normal"/>
    <n v="3"/>
    <x v="1"/>
  </r>
  <r>
    <s v="P1083"/>
    <s v="NorthStar Builders"/>
    <x v="3"/>
    <x v="7"/>
    <x v="2"/>
    <n v="32827"/>
    <n v="7680554"/>
    <d v="2025-10-24T00:00:00"/>
    <d v="2026-04-10T00:00:00"/>
    <s v="Expiring Soon"/>
    <n v="27"/>
    <x v="1"/>
    <n v="0"/>
    <s v="Normal"/>
    <n v="1"/>
    <x v="2"/>
  </r>
  <r>
    <s v="P1084"/>
    <s v="NorthStar Builders"/>
    <x v="0"/>
    <x v="3"/>
    <x v="1"/>
    <n v="37140"/>
    <n v="4413927"/>
    <d v="2025-01-12T00:00:00"/>
    <d v="2026-03-19T00:00:00"/>
    <s v="Expiring Soon"/>
    <n v="5"/>
    <x v="1"/>
    <n v="0"/>
    <s v="Normal"/>
    <n v="1"/>
    <x v="2"/>
  </r>
  <r>
    <s v="P1085"/>
    <s v="Sunrise Farms"/>
    <x v="1"/>
    <x v="5"/>
    <x v="3"/>
    <n v="12923"/>
    <n v="3191472"/>
    <d v="2025-08-09T00:00:00"/>
    <d v="2026-07-01T00:00:00"/>
    <s v="Active"/>
    <n v="109"/>
    <x v="1"/>
    <n v="0"/>
    <s v="Normal"/>
    <n v="1"/>
    <x v="2"/>
  </r>
  <r>
    <s v="P1086"/>
    <s v="IronGate Manufacturing"/>
    <x v="0"/>
    <x v="5"/>
    <x v="4"/>
    <n v="36674"/>
    <n v="2546565"/>
    <d v="2025-01-10T00:00:00"/>
    <d v="2026-09-16T00:00:00"/>
    <s v="Active"/>
    <n v="186"/>
    <x v="1"/>
    <n v="2"/>
    <s v="Normal"/>
    <n v="2"/>
    <x v="2"/>
  </r>
  <r>
    <s v="P1087"/>
    <s v="FreshMart Distribution"/>
    <x v="0"/>
    <x v="9"/>
    <x v="2"/>
    <n v="38956"/>
    <n v="1663688"/>
    <d v="2025-07-05T00:00:00"/>
    <d v="2026-05-22T00:00:00"/>
    <s v="Active"/>
    <n v="69"/>
    <x v="0"/>
    <n v="0"/>
    <s v="Normal"/>
    <n v="2"/>
    <x v="2"/>
  </r>
  <r>
    <s v="P1088"/>
    <s v="Sunrise Farms"/>
    <x v="1"/>
    <x v="9"/>
    <x v="3"/>
    <n v="13759"/>
    <n v="4841776"/>
    <d v="2025-12-13T00:00:00"/>
    <d v="2026-01-04T00:00:00"/>
    <s v="Expired"/>
    <s v="Expired"/>
    <x v="1"/>
    <n v="1"/>
    <s v="Normal"/>
    <n v="2"/>
    <x v="2"/>
  </r>
  <r>
    <s v="P1089"/>
    <s v="Metro Auto Repairs"/>
    <x v="0"/>
    <x v="1"/>
    <x v="1"/>
    <n v="28310"/>
    <n v="7170415"/>
    <d v="2025-10-16T00:00:00"/>
    <d v="2026-11-04T00:00:00"/>
    <s v="Active"/>
    <n v="235"/>
    <x v="1"/>
    <n v="2"/>
    <s v="Normal"/>
    <n v="2"/>
    <x v="2"/>
  </r>
  <r>
    <s v="P1090"/>
    <s v="TrueNorth Logistics"/>
    <x v="3"/>
    <x v="7"/>
    <x v="3"/>
    <n v="13632"/>
    <n v="2245041"/>
    <d v="2025-04-06T00:00:00"/>
    <d v="2026-01-10T00:00:00"/>
    <s v="Expired"/>
    <s v="Expired"/>
    <x v="1"/>
    <n v="0"/>
    <s v="Normal"/>
    <n v="1"/>
    <x v="2"/>
  </r>
  <r>
    <s v="P1091"/>
    <s v="BlueSky Developers"/>
    <x v="3"/>
    <x v="1"/>
    <x v="1"/>
    <n v="10745"/>
    <n v="6225017"/>
    <d v="2025-10-26T00:00:00"/>
    <d v="2026-12-15T00:00:00"/>
    <s v="Active"/>
    <n v="276"/>
    <x v="0"/>
    <n v="3"/>
    <s v="High"/>
    <n v="5"/>
    <x v="0"/>
  </r>
  <r>
    <s v="P1092"/>
    <s v="IronGate Manufacturing"/>
    <x v="1"/>
    <x v="8"/>
    <x v="2"/>
    <n v="8999"/>
    <n v="7572488"/>
    <d v="2025-11-15T00:00:00"/>
    <d v="2026-11-04T00:00:00"/>
    <s v="Active"/>
    <n v="235"/>
    <x v="1"/>
    <n v="3"/>
    <s v="High"/>
    <n v="4"/>
    <x v="1"/>
  </r>
  <r>
    <s v="P1093"/>
    <s v="BlueSky Developers"/>
    <x v="2"/>
    <x v="5"/>
    <x v="3"/>
    <n v="8438"/>
    <n v="3600018"/>
    <d v="2025-05-12T00:00:00"/>
    <d v="2026-12-24T00:00:00"/>
    <s v="Active"/>
    <n v="285"/>
    <x v="2"/>
    <n v="3"/>
    <s v="High"/>
    <n v="6"/>
    <x v="0"/>
  </r>
  <r>
    <s v="P1094"/>
    <s v="QuickCart Grocery"/>
    <x v="2"/>
    <x v="2"/>
    <x v="2"/>
    <n v="20342"/>
    <n v="8896903"/>
    <d v="2025-12-23T00:00:00"/>
    <d v="2026-07-14T00:00:00"/>
    <s v="Active"/>
    <n v="122"/>
    <x v="1"/>
    <n v="4"/>
    <s v="High"/>
    <n v="4"/>
    <x v="1"/>
  </r>
  <r>
    <s v="P1095"/>
    <s v="FreshMart Distribution"/>
    <x v="2"/>
    <x v="0"/>
    <x v="3"/>
    <n v="28427"/>
    <n v="3267942"/>
    <d v="2025-07-25T00:00:00"/>
    <d v="2026-06-06T00:00:00"/>
    <s v="Active"/>
    <n v="84"/>
    <x v="1"/>
    <n v="3"/>
    <s v="High"/>
    <n v="4"/>
    <x v="1"/>
  </r>
  <r>
    <s v="P1096"/>
    <s v="QuickCart Grocery"/>
    <x v="1"/>
    <x v="4"/>
    <x v="0"/>
    <n v="24129"/>
    <n v="8461314"/>
    <d v="2025-08-22T00:00:00"/>
    <d v="2026-04-16T00:00:00"/>
    <s v="Active"/>
    <n v="33"/>
    <x v="2"/>
    <n v="6"/>
    <s v="High"/>
    <n v="6"/>
    <x v="0"/>
  </r>
  <r>
    <s v="P1097"/>
    <s v="Sunrise Farms"/>
    <x v="2"/>
    <x v="8"/>
    <x v="4"/>
    <n v="36803"/>
    <n v="6126952"/>
    <d v="2025-05-12T00:00:00"/>
    <d v="2026-03-05T00:00:00"/>
    <s v="Expired"/>
    <s v="Expired"/>
    <x v="1"/>
    <n v="0"/>
    <s v="Normal"/>
    <n v="1"/>
    <x v="2"/>
  </r>
  <r>
    <s v="P1098"/>
    <s v="UrbanCare Clinics"/>
    <x v="1"/>
    <x v="5"/>
    <x v="2"/>
    <n v="24792"/>
    <n v="5638186"/>
    <d v="2025-07-17T00:00:00"/>
    <d v="2026-11-01T00:00:00"/>
    <s v="Active"/>
    <n v="232"/>
    <x v="2"/>
    <n v="4"/>
    <s v="High"/>
    <n v="6"/>
    <x v="0"/>
  </r>
  <r>
    <s v="P1099"/>
    <s v="ClearWater Utilities"/>
    <x v="2"/>
    <x v="9"/>
    <x v="2"/>
    <n v="13587"/>
    <n v="1057304"/>
    <d v="2025-01-26T00:00:00"/>
    <d v="2026-10-13T00:00:00"/>
    <s v="Active"/>
    <n v="213"/>
    <x v="0"/>
    <n v="3"/>
    <s v="High"/>
    <n v="5"/>
    <x v="0"/>
  </r>
  <r>
    <s v="P1100"/>
    <s v="FreshMart Distribution"/>
    <x v="0"/>
    <x v="9"/>
    <x v="1"/>
    <n v="32753"/>
    <n v="5723241"/>
    <d v="2025-04-18T00:00:00"/>
    <d v="2026-07-27T00:00:00"/>
    <s v="Active"/>
    <n v="135"/>
    <x v="0"/>
    <n v="6"/>
    <s v="High"/>
    <n v="5"/>
    <x v="0"/>
  </r>
  <r>
    <s v="P1101"/>
    <s v="BlueSky Developers"/>
    <x v="2"/>
    <x v="8"/>
    <x v="3"/>
    <n v="37141"/>
    <n v="5941942"/>
    <d v="2025-07-20T00:00:00"/>
    <d v="2026-10-12T00:00:00"/>
    <s v="Active"/>
    <n v="212"/>
    <x v="0"/>
    <n v="4"/>
    <s v="High"/>
    <n v="5"/>
    <x v="0"/>
  </r>
  <r>
    <s v="P1102"/>
    <s v="ClearWater Utilities"/>
    <x v="3"/>
    <x v="5"/>
    <x v="4"/>
    <n v="21154"/>
    <n v="9131522"/>
    <d v="2025-06-24T00:00:00"/>
    <d v="2026-03-28T00:00:00"/>
    <s v="Expiring Soon"/>
    <n v="14"/>
    <x v="0"/>
    <n v="2"/>
    <s v="Normal"/>
    <n v="3"/>
    <x v="1"/>
  </r>
  <r>
    <s v="P1103"/>
    <s v="GreenLeaf Retail"/>
    <x v="0"/>
    <x v="9"/>
    <x v="3"/>
    <n v="31151"/>
    <n v="2642744"/>
    <d v="2025-10-26T00:00:00"/>
    <d v="2026-04-08T00:00:00"/>
    <s v="Expiring Soon"/>
    <n v="25"/>
    <x v="2"/>
    <n v="0"/>
    <s v="Normal"/>
    <n v="3"/>
    <x v="1"/>
  </r>
  <r>
    <s v="P1104"/>
    <s v="Vertex Health Systems"/>
    <x v="1"/>
    <x v="3"/>
    <x v="0"/>
    <n v="25257"/>
    <n v="4292136"/>
    <d v="2025-06-26T00:00:00"/>
    <d v="2026-10-25T00:00:00"/>
    <s v="Active"/>
    <n v="225"/>
    <x v="1"/>
    <n v="2"/>
    <s v="Normal"/>
    <n v="2"/>
    <x v="2"/>
  </r>
  <r>
    <s v="P1105"/>
    <s v="UrbanBuild Contractors"/>
    <x v="0"/>
    <x v="1"/>
    <x v="4"/>
    <n v="25127"/>
    <n v="2156321"/>
    <d v="2025-02-14T00:00:00"/>
    <d v="2026-12-06T00:00:00"/>
    <s v="Active"/>
    <n v="267"/>
    <x v="0"/>
    <n v="1"/>
    <s v="Normal"/>
    <n v="3"/>
    <x v="1"/>
  </r>
  <r>
    <s v="P1106"/>
    <s v="FreshMart Distribution"/>
    <x v="0"/>
    <x v="5"/>
    <x v="1"/>
    <n v="23930"/>
    <n v="3111383"/>
    <d v="2025-01-21T00:00:00"/>
    <d v="2026-10-25T00:00:00"/>
    <s v="Active"/>
    <n v="225"/>
    <x v="1"/>
    <n v="6"/>
    <s v="High"/>
    <n v="4"/>
    <x v="1"/>
  </r>
  <r>
    <s v="P1107"/>
    <s v="SilverLine Transport"/>
    <x v="3"/>
    <x v="6"/>
    <x v="0"/>
    <n v="20495"/>
    <n v="6625684"/>
    <d v="2025-02-21T00:00:00"/>
    <d v="2026-03-25T00:00:00"/>
    <s v="Expiring Soon"/>
    <n v="11"/>
    <x v="0"/>
    <n v="4"/>
    <s v="High"/>
    <n v="5"/>
    <x v="0"/>
  </r>
  <r>
    <s v="P1108"/>
    <s v="UrbanCare Clinics"/>
    <x v="2"/>
    <x v="8"/>
    <x v="4"/>
    <n v="11004"/>
    <n v="2057594"/>
    <d v="2025-11-12T00:00:00"/>
    <d v="2026-07-05T00:00:00"/>
    <s v="Active"/>
    <n v="113"/>
    <x v="1"/>
    <n v="1"/>
    <s v="Normal"/>
    <n v="2"/>
    <x v="2"/>
  </r>
  <r>
    <s v="P1109"/>
    <s v="OceanView Hotels"/>
    <x v="2"/>
    <x v="6"/>
    <x v="1"/>
    <n v="13907"/>
    <n v="963628"/>
    <d v="2025-09-15T00:00:00"/>
    <d v="2026-11-14T00:00:00"/>
    <s v="Active"/>
    <n v="245"/>
    <x v="0"/>
    <n v="0"/>
    <s v="Normal"/>
    <n v="2"/>
    <x v="2"/>
  </r>
  <r>
    <s v="P1110"/>
    <s v="ClearWater Utilities"/>
    <x v="2"/>
    <x v="3"/>
    <x v="3"/>
    <n v="18103"/>
    <n v="2485684"/>
    <d v="2025-01-21T00:00:00"/>
    <d v="2026-12-03T00:00:00"/>
    <s v="Active"/>
    <n v="264"/>
    <x v="1"/>
    <n v="5"/>
    <s v="High"/>
    <n v="4"/>
    <x v="1"/>
  </r>
  <r>
    <s v="P1111"/>
    <s v="Peak Energy Systems"/>
    <x v="0"/>
    <x v="4"/>
    <x v="2"/>
    <n v="15763"/>
    <n v="6523793"/>
    <d v="2025-09-18T00:00:00"/>
    <d v="2026-08-14T00:00:00"/>
    <s v="Active"/>
    <n v="153"/>
    <x v="0"/>
    <n v="2"/>
    <s v="Normal"/>
    <n v="3"/>
    <x v="1"/>
  </r>
  <r>
    <s v="P1112"/>
    <s v="Sunrise Farms"/>
    <x v="1"/>
    <x v="1"/>
    <x v="0"/>
    <n v="21004"/>
    <n v="1895970"/>
    <d v="2025-02-10T00:00:00"/>
    <d v="2026-10-01T00:00:00"/>
    <s v="Active"/>
    <n v="201"/>
    <x v="1"/>
    <n v="0"/>
    <s v="Normal"/>
    <n v="1"/>
    <x v="2"/>
  </r>
  <r>
    <s v="P1113"/>
    <s v="UrbanCare Clinics"/>
    <x v="2"/>
    <x v="5"/>
    <x v="3"/>
    <n v="35437"/>
    <n v="8069772"/>
    <d v="2025-04-18T00:00:00"/>
    <d v="2026-04-28T00:00:00"/>
    <s v="Active"/>
    <n v="45"/>
    <x v="2"/>
    <n v="1"/>
    <s v="Normal"/>
    <n v="4"/>
    <x v="1"/>
  </r>
  <r>
    <s v="P1114"/>
    <s v="NorthStar Builders"/>
    <x v="0"/>
    <x v="2"/>
    <x v="3"/>
    <n v="16682"/>
    <n v="2658285"/>
    <d v="2025-08-20T00:00:00"/>
    <d v="2026-11-15T00:00:00"/>
    <s v="Active"/>
    <n v="246"/>
    <x v="0"/>
    <n v="0"/>
    <s v="Normal"/>
    <n v="2"/>
    <x v="2"/>
  </r>
  <r>
    <s v="P1115"/>
    <s v="UrbanBuild Contractors"/>
    <x v="0"/>
    <x v="7"/>
    <x v="4"/>
    <n v="15897"/>
    <n v="4092495"/>
    <d v="2025-06-08T00:00:00"/>
    <d v="2026-11-12T00:00:00"/>
    <s v="Active"/>
    <n v="243"/>
    <x v="2"/>
    <n v="0"/>
    <s v="Normal"/>
    <n v="3"/>
    <x v="1"/>
  </r>
  <r>
    <s v="P1116"/>
    <s v="ClearWater Utilities"/>
    <x v="2"/>
    <x v="4"/>
    <x v="0"/>
    <n v="36614"/>
    <n v="6737975"/>
    <d v="2025-12-23T00:00:00"/>
    <d v="2026-03-15T00:00:00"/>
    <s v="Expiring Soon"/>
    <n v="1"/>
    <x v="0"/>
    <n v="4"/>
    <s v="High"/>
    <n v="5"/>
    <x v="0"/>
  </r>
  <r>
    <s v="P1117"/>
    <s v="Peak Energy Systems"/>
    <x v="0"/>
    <x v="5"/>
    <x v="4"/>
    <n v="14631"/>
    <n v="9361431"/>
    <d v="2025-01-06T00:00:00"/>
    <d v="2026-05-09T00:00:00"/>
    <s v="Active"/>
    <n v="56"/>
    <x v="0"/>
    <n v="6"/>
    <s v="High"/>
    <n v="5"/>
    <x v="0"/>
  </r>
  <r>
    <s v="P1118"/>
    <s v="GreenLeaf Retail"/>
    <x v="3"/>
    <x v="4"/>
    <x v="3"/>
    <n v="11989"/>
    <n v="1779005"/>
    <d v="2025-11-11T00:00:00"/>
    <d v="2026-02-12T00:00:00"/>
    <s v="Expired"/>
    <s v="Expired"/>
    <x v="0"/>
    <n v="2"/>
    <s v="Normal"/>
    <n v="3"/>
    <x v="1"/>
  </r>
  <r>
    <s v="P1119"/>
    <s v="BlueSky Developers"/>
    <x v="3"/>
    <x v="7"/>
    <x v="3"/>
    <n v="26826"/>
    <n v="1871085"/>
    <d v="2025-03-27T00:00:00"/>
    <d v="2026-03-06T00:00:00"/>
    <s v="Expired"/>
    <s v="Expired"/>
    <x v="0"/>
    <n v="3"/>
    <s v="High"/>
    <n v="5"/>
    <x v="0"/>
  </r>
  <r>
    <s v="P1120"/>
    <s v="Sunrise Farms"/>
    <x v="3"/>
    <x v="5"/>
    <x v="3"/>
    <n v="11697"/>
    <n v="8870146"/>
    <d v="2025-12-08T00:00:00"/>
    <d v="2026-03-11T00:00:00"/>
    <s v="Expired"/>
    <s v="Expired"/>
    <x v="1"/>
    <n v="0"/>
    <s v="Normal"/>
    <n v="1"/>
    <x v="2"/>
  </r>
  <r>
    <s v="P1121"/>
    <s v="FreshMart Distribution"/>
    <x v="2"/>
    <x v="8"/>
    <x v="1"/>
    <n v="9523"/>
    <n v="1747175"/>
    <d v="2025-03-02T00:00:00"/>
    <d v="2026-08-16T00:00:00"/>
    <s v="Active"/>
    <n v="155"/>
    <x v="0"/>
    <n v="1"/>
    <s v="Normal"/>
    <n v="3"/>
    <x v="1"/>
  </r>
  <r>
    <s v="P1122"/>
    <s v="Coastal Shipping Ltd"/>
    <x v="3"/>
    <x v="9"/>
    <x v="2"/>
    <n v="14779"/>
    <n v="7069484"/>
    <d v="2025-11-04T00:00:00"/>
    <d v="2026-05-17T00:00:00"/>
    <s v="Active"/>
    <n v="64"/>
    <x v="1"/>
    <n v="5"/>
    <s v="High"/>
    <n v="4"/>
    <x v="1"/>
  </r>
  <r>
    <s v="P1123"/>
    <s v="BlueSky Developers"/>
    <x v="2"/>
    <x v="9"/>
    <x v="4"/>
    <n v="37285"/>
    <n v="2074277"/>
    <d v="2025-03-17T00:00:00"/>
    <d v="2026-09-21T00:00:00"/>
    <s v="Active"/>
    <n v="191"/>
    <x v="1"/>
    <n v="1"/>
    <s v="Normal"/>
    <n v="2"/>
    <x v="2"/>
  </r>
  <r>
    <s v="P1124"/>
    <s v="Vertex Health Systems"/>
    <x v="3"/>
    <x v="0"/>
    <x v="0"/>
    <n v="31497"/>
    <n v="7509432"/>
    <d v="2025-03-13T00:00:00"/>
    <d v="2026-06-06T00:00:00"/>
    <s v="Active"/>
    <n v="84"/>
    <x v="2"/>
    <n v="0"/>
    <s v="Normal"/>
    <n v="3"/>
    <x v="1"/>
  </r>
  <r>
    <s v="P1125"/>
    <s v="SilverLine Transport"/>
    <x v="0"/>
    <x v="6"/>
    <x v="4"/>
    <n v="24728"/>
    <n v="1669996"/>
    <d v="2025-09-22T00:00:00"/>
    <d v="2026-09-04T00:00:00"/>
    <s v="Active"/>
    <n v="174"/>
    <x v="1"/>
    <n v="1"/>
    <s v="Normal"/>
    <n v="2"/>
    <x v="2"/>
  </r>
  <r>
    <s v="P1126"/>
    <s v="EverGreen Foods"/>
    <x v="2"/>
    <x v="8"/>
    <x v="2"/>
    <n v="7678"/>
    <n v="9279125"/>
    <d v="2025-06-14T00:00:00"/>
    <d v="2026-11-02T00:00:00"/>
    <s v="Active"/>
    <n v="233"/>
    <x v="2"/>
    <n v="2"/>
    <s v="Normal"/>
    <n v="4"/>
    <x v="1"/>
  </r>
  <r>
    <s v="P1127"/>
    <s v="UrbanCare Clinics"/>
    <x v="1"/>
    <x v="2"/>
    <x v="1"/>
    <n v="29825"/>
    <n v="6428210"/>
    <d v="2025-09-09T00:00:00"/>
    <d v="2026-09-05T00:00:00"/>
    <s v="Active"/>
    <n v="175"/>
    <x v="0"/>
    <n v="6"/>
    <s v="High"/>
    <n v="5"/>
    <x v="0"/>
  </r>
  <r>
    <s v="P1128"/>
    <s v="EverGreen Foods"/>
    <x v="0"/>
    <x v="1"/>
    <x v="0"/>
    <n v="30950"/>
    <n v="3816058"/>
    <d v="2025-08-12T00:00:00"/>
    <d v="2026-12-23T00:00:00"/>
    <s v="Active"/>
    <n v="284"/>
    <x v="0"/>
    <n v="6"/>
    <s v="High"/>
    <n v="5"/>
    <x v="0"/>
  </r>
  <r>
    <s v="P1129"/>
    <s v="UrbanBuild Contractors"/>
    <x v="2"/>
    <x v="7"/>
    <x v="3"/>
    <n v="7295"/>
    <n v="4599354"/>
    <d v="2025-03-16T00:00:00"/>
    <d v="2026-08-13T00:00:00"/>
    <s v="Active"/>
    <n v="152"/>
    <x v="1"/>
    <n v="3"/>
    <s v="High"/>
    <n v="4"/>
    <x v="1"/>
  </r>
  <r>
    <s v="P1130"/>
    <s v="NorthStar Builders"/>
    <x v="0"/>
    <x v="3"/>
    <x v="4"/>
    <n v="33696"/>
    <n v="9233219"/>
    <d v="2025-09-27T00:00:00"/>
    <d v="2026-07-27T00:00:00"/>
    <s v="Active"/>
    <n v="135"/>
    <x v="2"/>
    <n v="4"/>
    <s v="High"/>
    <n v="6"/>
    <x v="0"/>
  </r>
  <r>
    <s v="P1131"/>
    <s v="Peak Energy Systems"/>
    <x v="2"/>
    <x v="1"/>
    <x v="1"/>
    <n v="16342"/>
    <n v="8341086"/>
    <d v="2025-07-08T00:00:00"/>
    <d v="2026-07-18T00:00:00"/>
    <s v="Active"/>
    <n v="126"/>
    <x v="1"/>
    <n v="1"/>
    <s v="Normal"/>
    <n v="2"/>
    <x v="2"/>
  </r>
  <r>
    <s v="P1132"/>
    <s v="EverGreen Foods"/>
    <x v="0"/>
    <x v="4"/>
    <x v="2"/>
    <n v="19458"/>
    <n v="3064829"/>
    <d v="2025-10-04T00:00:00"/>
    <d v="2026-03-25T00:00:00"/>
    <s v="Expiring Soon"/>
    <n v="11"/>
    <x v="1"/>
    <n v="5"/>
    <s v="High"/>
    <n v="4"/>
    <x v="1"/>
  </r>
  <r>
    <s v="P1133"/>
    <s v="GreenLeaf Retail"/>
    <x v="0"/>
    <x v="9"/>
    <x v="0"/>
    <n v="21688"/>
    <n v="4653880"/>
    <d v="2025-03-12T00:00:00"/>
    <d v="2026-08-14T00:00:00"/>
    <s v="Active"/>
    <n v="153"/>
    <x v="0"/>
    <n v="5"/>
    <s v="High"/>
    <n v="5"/>
    <x v="0"/>
  </r>
  <r>
    <s v="P1134"/>
    <s v="TrueNorth Logistics"/>
    <x v="1"/>
    <x v="9"/>
    <x v="2"/>
    <n v="21473"/>
    <n v="9622033"/>
    <d v="2025-10-14T00:00:00"/>
    <d v="2026-07-26T00:00:00"/>
    <s v="Active"/>
    <n v="134"/>
    <x v="0"/>
    <n v="2"/>
    <s v="Normal"/>
    <n v="3"/>
    <x v="1"/>
  </r>
  <r>
    <s v="P1135"/>
    <s v="GreenLeaf Retail"/>
    <x v="2"/>
    <x v="3"/>
    <x v="0"/>
    <n v="20641"/>
    <n v="2894251"/>
    <d v="2025-04-08T00:00:00"/>
    <d v="2026-07-19T00:00:00"/>
    <s v="Active"/>
    <n v="127"/>
    <x v="0"/>
    <n v="5"/>
    <s v="High"/>
    <n v="5"/>
    <x v="0"/>
  </r>
  <r>
    <s v="P1136"/>
    <s v="TrueNorth Logistics"/>
    <x v="2"/>
    <x v="3"/>
    <x v="1"/>
    <n v="31430"/>
    <n v="6658658"/>
    <d v="2025-04-27T00:00:00"/>
    <d v="2026-03-23T00:00:00"/>
    <s v="Expiring Soon"/>
    <n v="9"/>
    <x v="1"/>
    <n v="3"/>
    <s v="High"/>
    <n v="4"/>
    <x v="1"/>
  </r>
  <r>
    <s v="P1137"/>
    <s v="Metro Auto Repairs"/>
    <x v="3"/>
    <x v="7"/>
    <x v="0"/>
    <n v="21555"/>
    <n v="9057523"/>
    <d v="2025-11-24T00:00:00"/>
    <d v="2026-02-20T00:00:00"/>
    <s v="Expired"/>
    <s v="Expired"/>
    <x v="1"/>
    <n v="0"/>
    <s v="Normal"/>
    <n v="1"/>
    <x v="2"/>
  </r>
  <r>
    <s v="P1138"/>
    <s v="UrbanBuild Contractors"/>
    <x v="0"/>
    <x v="9"/>
    <x v="3"/>
    <n v="28146"/>
    <n v="6574403"/>
    <d v="2025-11-22T00:00:00"/>
    <d v="2026-08-03T00:00:00"/>
    <s v="Active"/>
    <n v="142"/>
    <x v="2"/>
    <n v="3"/>
    <s v="High"/>
    <n v="6"/>
    <x v="0"/>
  </r>
  <r>
    <s v="P1139"/>
    <s v="Vertex Health Systems"/>
    <x v="0"/>
    <x v="5"/>
    <x v="3"/>
    <n v="18859"/>
    <n v="806117"/>
    <d v="2025-12-21T00:00:00"/>
    <d v="2026-02-25T00:00:00"/>
    <s v="Expired"/>
    <s v="Expired"/>
    <x v="0"/>
    <n v="2"/>
    <s v="Normal"/>
    <n v="3"/>
    <x v="1"/>
  </r>
  <r>
    <s v="P1140"/>
    <s v="Vertex Health Systems"/>
    <x v="2"/>
    <x v="8"/>
    <x v="4"/>
    <n v="23592"/>
    <n v="5336830"/>
    <d v="2025-10-15T00:00:00"/>
    <d v="2026-08-07T00:00:00"/>
    <s v="Active"/>
    <n v="146"/>
    <x v="2"/>
    <n v="1"/>
    <s v="Normal"/>
    <n v="4"/>
    <x v="1"/>
  </r>
  <r>
    <s v="P1141"/>
    <s v="FreshMart Distribution"/>
    <x v="1"/>
    <x v="2"/>
    <x v="1"/>
    <n v="10989"/>
    <n v="4994210"/>
    <d v="2025-02-04T00:00:00"/>
    <d v="2026-03-08T00:00:00"/>
    <s v="Expired"/>
    <s v="Expired"/>
    <x v="0"/>
    <n v="6"/>
    <s v="High"/>
    <n v="5"/>
    <x v="0"/>
  </r>
  <r>
    <s v="P1142"/>
    <s v="Metro Auto Repairs"/>
    <x v="1"/>
    <x v="0"/>
    <x v="3"/>
    <n v="37827"/>
    <n v="6434048"/>
    <d v="2025-03-28T00:00:00"/>
    <d v="2026-08-04T00:00:00"/>
    <s v="Active"/>
    <n v="143"/>
    <x v="1"/>
    <n v="2"/>
    <s v="Normal"/>
    <n v="2"/>
    <x v="2"/>
  </r>
  <r>
    <s v="P1143"/>
    <s v="EverGreen Foods"/>
    <x v="1"/>
    <x v="6"/>
    <x v="2"/>
    <n v="39411"/>
    <n v="1563621"/>
    <d v="2025-02-04T00:00:00"/>
    <d v="2026-03-20T00:00:00"/>
    <s v="Expiring Soon"/>
    <n v="6"/>
    <x v="0"/>
    <n v="1"/>
    <s v="Normal"/>
    <n v="3"/>
    <x v="1"/>
  </r>
  <r>
    <s v="P1144"/>
    <s v="UrbanCare Clinics"/>
    <x v="0"/>
    <x v="2"/>
    <x v="1"/>
    <n v="18984"/>
    <n v="4211454"/>
    <d v="2025-05-17T00:00:00"/>
    <d v="2026-04-08T00:00:00"/>
    <s v="Expiring Soon"/>
    <n v="25"/>
    <x v="1"/>
    <n v="6"/>
    <s v="High"/>
    <n v="4"/>
    <x v="1"/>
  </r>
  <r>
    <s v="P1145"/>
    <s v="BlueSky Developers"/>
    <x v="2"/>
    <x v="1"/>
    <x v="1"/>
    <n v="14738"/>
    <n v="9659532"/>
    <d v="2025-08-20T00:00:00"/>
    <d v="2026-01-07T00:00:00"/>
    <s v="Expired"/>
    <s v="Expired"/>
    <x v="0"/>
    <n v="5"/>
    <s v="High"/>
    <n v="5"/>
    <x v="0"/>
  </r>
  <r>
    <s v="P1146"/>
    <s v="Vertex Health Systems"/>
    <x v="3"/>
    <x v="1"/>
    <x v="1"/>
    <n v="39452"/>
    <n v="1326175"/>
    <d v="2025-01-17T00:00:00"/>
    <d v="2026-11-11T00:00:00"/>
    <s v="Active"/>
    <n v="242"/>
    <x v="1"/>
    <n v="4"/>
    <s v="High"/>
    <n v="4"/>
    <x v="1"/>
  </r>
  <r>
    <s v="P1147"/>
    <s v="Peak Energy Systems"/>
    <x v="2"/>
    <x v="8"/>
    <x v="3"/>
    <n v="31717"/>
    <n v="7030869"/>
    <d v="2025-08-09T00:00:00"/>
    <d v="2026-08-24T00:00:00"/>
    <s v="Active"/>
    <n v="163"/>
    <x v="0"/>
    <n v="3"/>
    <s v="High"/>
    <n v="5"/>
    <x v="0"/>
  </r>
  <r>
    <s v="P1148"/>
    <s v="Sunrise Farms"/>
    <x v="0"/>
    <x v="1"/>
    <x v="4"/>
    <n v="33954"/>
    <n v="9872303"/>
    <d v="2025-03-20T00:00:00"/>
    <d v="2026-06-01T00:00:00"/>
    <s v="Active"/>
    <n v="79"/>
    <x v="0"/>
    <n v="2"/>
    <s v="Normal"/>
    <n v="3"/>
    <x v="1"/>
  </r>
  <r>
    <s v="P1149"/>
    <s v="QuickCart Grocery"/>
    <x v="1"/>
    <x v="3"/>
    <x v="1"/>
    <n v="39976"/>
    <n v="7816856"/>
    <d v="2025-01-14T00:00:00"/>
    <d v="2026-04-26T00:00:00"/>
    <s v="Active"/>
    <n v="43"/>
    <x v="2"/>
    <n v="6"/>
    <s v="High"/>
    <n v="6"/>
    <x v="0"/>
  </r>
  <r>
    <s v="P1150"/>
    <s v="IronGate Manufacturing"/>
    <x v="2"/>
    <x v="0"/>
    <x v="3"/>
    <n v="36732"/>
    <n v="4388706"/>
    <d v="2025-10-21T00:00:00"/>
    <d v="2026-03-27T00:00:00"/>
    <s v="Expiring Soon"/>
    <n v="13"/>
    <x v="1"/>
    <n v="2"/>
    <s v="Normal"/>
    <n v="2"/>
    <x v="2"/>
  </r>
  <r>
    <s v="P1151"/>
    <s v="NorthPeak Engineering"/>
    <x v="1"/>
    <x v="0"/>
    <x v="3"/>
    <n v="6984"/>
    <n v="6853296"/>
    <d v="2025-02-26T00:00:00"/>
    <d v="2026-06-20T00:00:00"/>
    <s v="Active"/>
    <n v="98"/>
    <x v="2"/>
    <n v="0"/>
    <s v="Normal"/>
    <n v="3"/>
    <x v="1"/>
  </r>
  <r>
    <s v="P1152"/>
    <s v="GreenLeaf Retail"/>
    <x v="3"/>
    <x v="8"/>
    <x v="4"/>
    <n v="21191"/>
    <n v="823753"/>
    <d v="2025-06-03T00:00:00"/>
    <d v="2026-04-11T00:00:00"/>
    <s v="Expiring Soon"/>
    <n v="28"/>
    <x v="1"/>
    <n v="6"/>
    <s v="High"/>
    <n v="4"/>
    <x v="1"/>
  </r>
  <r>
    <s v="P1153"/>
    <s v="Metro Auto Repairs"/>
    <x v="0"/>
    <x v="7"/>
    <x v="2"/>
    <n v="9388"/>
    <n v="1340664"/>
    <d v="2025-09-05T00:00:00"/>
    <d v="2026-01-03T00:00:00"/>
    <s v="Expired"/>
    <s v="Expired"/>
    <x v="0"/>
    <n v="1"/>
    <s v="Normal"/>
    <n v="3"/>
    <x v="1"/>
  </r>
  <r>
    <s v="P1154"/>
    <s v="SilverLine Transport"/>
    <x v="0"/>
    <x v="9"/>
    <x v="2"/>
    <n v="11298"/>
    <n v="4933505"/>
    <d v="2025-09-13T00:00:00"/>
    <d v="2026-06-19T00:00:00"/>
    <s v="Active"/>
    <n v="97"/>
    <x v="2"/>
    <n v="0"/>
    <s v="Normal"/>
    <n v="3"/>
    <x v="1"/>
  </r>
  <r>
    <s v="P1155"/>
    <s v="NorthStar Builders"/>
    <x v="2"/>
    <x v="5"/>
    <x v="2"/>
    <n v="12395"/>
    <n v="9130450"/>
    <d v="2025-01-14T00:00:00"/>
    <d v="2026-05-18T00:00:00"/>
    <s v="Active"/>
    <n v="65"/>
    <x v="1"/>
    <n v="6"/>
    <s v="High"/>
    <n v="4"/>
    <x v="1"/>
  </r>
  <r>
    <s v="P1156"/>
    <s v="Sunrise Farms"/>
    <x v="0"/>
    <x v="1"/>
    <x v="0"/>
    <n v="12205"/>
    <n v="1956133"/>
    <d v="2025-06-18T00:00:00"/>
    <d v="2026-09-11T00:00:00"/>
    <s v="Active"/>
    <n v="181"/>
    <x v="0"/>
    <n v="2"/>
    <s v="Normal"/>
    <n v="3"/>
    <x v="1"/>
  </r>
  <r>
    <s v="P1157"/>
    <s v="MapleTech Solutions"/>
    <x v="1"/>
    <x v="9"/>
    <x v="0"/>
    <n v="30120"/>
    <n v="1687817"/>
    <d v="2025-01-21T00:00:00"/>
    <d v="2026-07-15T00:00:00"/>
    <s v="Active"/>
    <n v="123"/>
    <x v="2"/>
    <n v="1"/>
    <s v="Normal"/>
    <n v="4"/>
    <x v="1"/>
  </r>
  <r>
    <s v="P1158"/>
    <s v="BlueSky Developers"/>
    <x v="0"/>
    <x v="2"/>
    <x v="4"/>
    <n v="29923"/>
    <n v="1430177"/>
    <d v="2025-11-10T00:00:00"/>
    <d v="2026-04-25T00:00:00"/>
    <s v="Active"/>
    <n v="42"/>
    <x v="2"/>
    <n v="6"/>
    <s v="High"/>
    <n v="6"/>
    <x v="0"/>
  </r>
  <r>
    <s v="P1159"/>
    <s v="ClearWater Utilities"/>
    <x v="0"/>
    <x v="2"/>
    <x v="1"/>
    <n v="23462"/>
    <n v="2958677"/>
    <d v="2025-07-02T00:00:00"/>
    <d v="2026-04-02T00:00:00"/>
    <s v="Expiring Soon"/>
    <n v="19"/>
    <x v="1"/>
    <n v="3"/>
    <s v="High"/>
    <n v="4"/>
    <x v="1"/>
  </r>
  <r>
    <s v="P1160"/>
    <s v="Peak Energy Systems"/>
    <x v="1"/>
    <x v="1"/>
    <x v="3"/>
    <n v="37206"/>
    <n v="8429361"/>
    <d v="2025-11-05T00:00:00"/>
    <d v="2026-08-08T00:00:00"/>
    <s v="Active"/>
    <n v="147"/>
    <x v="0"/>
    <n v="3"/>
    <s v="High"/>
    <n v="5"/>
    <x v="0"/>
  </r>
  <r>
    <s v="P1161"/>
    <s v="Sunrise Farms"/>
    <x v="1"/>
    <x v="0"/>
    <x v="4"/>
    <n v="15496"/>
    <n v="9910143"/>
    <d v="2025-08-06T00:00:00"/>
    <d v="2026-08-20T00:00:00"/>
    <s v="Active"/>
    <n v="159"/>
    <x v="2"/>
    <n v="2"/>
    <s v="Normal"/>
    <n v="4"/>
    <x v="1"/>
  </r>
  <r>
    <s v="P1162"/>
    <s v="FreshMart Distribution"/>
    <x v="2"/>
    <x v="7"/>
    <x v="0"/>
    <n v="31400"/>
    <n v="6637422"/>
    <d v="2025-04-03T00:00:00"/>
    <d v="2026-03-07T00:00:00"/>
    <s v="Expired"/>
    <s v="Expired"/>
    <x v="1"/>
    <n v="6"/>
    <s v="High"/>
    <n v="4"/>
    <x v="1"/>
  </r>
  <r>
    <s v="P1163"/>
    <s v="BlueSky Developers"/>
    <x v="3"/>
    <x v="4"/>
    <x v="0"/>
    <n v="32342"/>
    <n v="3158246"/>
    <d v="2025-08-10T00:00:00"/>
    <d v="2026-08-18T00:00:00"/>
    <s v="Active"/>
    <n v="157"/>
    <x v="1"/>
    <n v="4"/>
    <s v="High"/>
    <n v="4"/>
    <x v="1"/>
  </r>
  <r>
    <s v="P1164"/>
    <s v="NorthStar Builders"/>
    <x v="3"/>
    <x v="0"/>
    <x v="0"/>
    <n v="32320"/>
    <n v="4952036"/>
    <d v="2025-10-15T00:00:00"/>
    <d v="2026-11-01T00:00:00"/>
    <s v="Active"/>
    <n v="232"/>
    <x v="0"/>
    <n v="0"/>
    <s v="Normal"/>
    <n v="2"/>
    <x v="2"/>
  </r>
  <r>
    <s v="P1165"/>
    <s v="EverGreen Foods"/>
    <x v="3"/>
    <x v="1"/>
    <x v="1"/>
    <n v="13512"/>
    <n v="6083382"/>
    <d v="2025-02-12T00:00:00"/>
    <d v="2026-11-17T00:00:00"/>
    <s v="Active"/>
    <n v="248"/>
    <x v="0"/>
    <n v="4"/>
    <s v="High"/>
    <n v="5"/>
    <x v="0"/>
  </r>
  <r>
    <s v="P1166"/>
    <s v="UrbanCare Clinics"/>
    <x v="2"/>
    <x v="1"/>
    <x v="2"/>
    <n v="9028"/>
    <n v="1278027"/>
    <d v="2025-02-11T00:00:00"/>
    <d v="2026-09-18T00:00:00"/>
    <s v="Active"/>
    <n v="188"/>
    <x v="0"/>
    <n v="1"/>
    <s v="Normal"/>
    <n v="3"/>
    <x v="1"/>
  </r>
  <r>
    <s v="P1167"/>
    <s v="Peak Energy Systems"/>
    <x v="3"/>
    <x v="1"/>
    <x v="2"/>
    <n v="7301"/>
    <n v="3116324"/>
    <d v="2025-10-09T00:00:00"/>
    <d v="2026-05-25T00:00:00"/>
    <s v="Active"/>
    <n v="72"/>
    <x v="2"/>
    <n v="3"/>
    <s v="High"/>
    <n v="6"/>
    <x v="0"/>
  </r>
  <r>
    <s v="P1168"/>
    <s v="NorthPeak Engineering"/>
    <x v="3"/>
    <x v="7"/>
    <x v="0"/>
    <n v="38789"/>
    <n v="8032719"/>
    <d v="2025-10-25T00:00:00"/>
    <d v="2026-05-01T00:00:00"/>
    <s v="Active"/>
    <n v="48"/>
    <x v="2"/>
    <n v="2"/>
    <s v="Normal"/>
    <n v="4"/>
    <x v="1"/>
  </r>
  <r>
    <s v="P1169"/>
    <s v="Sunrise Farms"/>
    <x v="3"/>
    <x v="6"/>
    <x v="1"/>
    <n v="15918"/>
    <n v="7374749"/>
    <d v="2025-01-21T00:00:00"/>
    <d v="2026-12-23T00:00:00"/>
    <s v="Active"/>
    <n v="284"/>
    <x v="2"/>
    <n v="1"/>
    <s v="Normal"/>
    <n v="4"/>
    <x v="1"/>
  </r>
  <r>
    <s v="P1170"/>
    <s v="Vertex Health Systems"/>
    <x v="2"/>
    <x v="9"/>
    <x v="2"/>
    <n v="36667"/>
    <n v="7689818"/>
    <d v="2025-07-16T00:00:00"/>
    <d v="2026-03-06T00:00:00"/>
    <s v="Expired"/>
    <s v="Expired"/>
    <x v="0"/>
    <n v="4"/>
    <s v="High"/>
    <n v="5"/>
    <x v="0"/>
  </r>
  <r>
    <s v="P1171"/>
    <s v="IronGate Manufacturing"/>
    <x v="2"/>
    <x v="7"/>
    <x v="4"/>
    <n v="29026"/>
    <n v="3756419"/>
    <d v="2025-10-06T00:00:00"/>
    <d v="2026-01-08T00:00:00"/>
    <s v="Expired"/>
    <s v="Expired"/>
    <x v="0"/>
    <n v="4"/>
    <s v="High"/>
    <n v="5"/>
    <x v="0"/>
  </r>
  <r>
    <s v="P1172"/>
    <s v="SilverLine Transport"/>
    <x v="1"/>
    <x v="4"/>
    <x v="4"/>
    <n v="38181"/>
    <n v="8219875"/>
    <d v="2025-08-17T00:00:00"/>
    <d v="2026-08-15T00:00:00"/>
    <s v="Active"/>
    <n v="154"/>
    <x v="2"/>
    <n v="0"/>
    <s v="Normal"/>
    <n v="3"/>
    <x v="1"/>
  </r>
  <r>
    <s v="P1173"/>
    <s v="QuickCart Grocery"/>
    <x v="2"/>
    <x v="2"/>
    <x v="1"/>
    <n v="26909"/>
    <n v="5576593"/>
    <d v="2025-03-02T00:00:00"/>
    <d v="2026-05-17T00:00:00"/>
    <s v="Active"/>
    <n v="64"/>
    <x v="2"/>
    <n v="4"/>
    <s v="High"/>
    <n v="6"/>
    <x v="0"/>
  </r>
  <r>
    <s v="P1174"/>
    <s v="Metro Auto Repairs"/>
    <x v="0"/>
    <x v="7"/>
    <x v="3"/>
    <n v="14323"/>
    <n v="8254588"/>
    <d v="2025-10-12T00:00:00"/>
    <d v="2026-03-04T00:00:00"/>
    <s v="Expired"/>
    <s v="Expired"/>
    <x v="2"/>
    <n v="0"/>
    <s v="Normal"/>
    <n v="3"/>
    <x v="1"/>
  </r>
  <r>
    <s v="P1175"/>
    <s v="SilverLine Transport"/>
    <x v="1"/>
    <x v="6"/>
    <x v="4"/>
    <n v="36425"/>
    <n v="7939756"/>
    <d v="2025-09-18T00:00:00"/>
    <d v="2026-11-09T00:00:00"/>
    <s v="Active"/>
    <n v="240"/>
    <x v="1"/>
    <n v="4"/>
    <s v="High"/>
    <n v="4"/>
    <x v="1"/>
  </r>
  <r>
    <s v="P1176"/>
    <s v="IronGate Manufacturing"/>
    <x v="0"/>
    <x v="0"/>
    <x v="3"/>
    <n v="26439"/>
    <n v="4162293"/>
    <d v="2025-06-19T00:00:00"/>
    <d v="2026-06-25T00:00:00"/>
    <s v="Active"/>
    <n v="103"/>
    <x v="0"/>
    <n v="2"/>
    <s v="Normal"/>
    <n v="3"/>
    <x v="1"/>
  </r>
  <r>
    <s v="P1177"/>
    <s v="ClearWater Utilities"/>
    <x v="0"/>
    <x v="8"/>
    <x v="0"/>
    <n v="22082"/>
    <n v="840731"/>
    <d v="2025-10-11T00:00:00"/>
    <d v="2026-08-09T00:00:00"/>
    <s v="Active"/>
    <n v="148"/>
    <x v="2"/>
    <n v="4"/>
    <s v="High"/>
    <n v="6"/>
    <x v="0"/>
  </r>
  <r>
    <s v="P1178"/>
    <s v="FreshMart Distribution"/>
    <x v="3"/>
    <x v="0"/>
    <x v="3"/>
    <n v="17550"/>
    <n v="2194251"/>
    <d v="2025-01-06T00:00:00"/>
    <d v="2026-05-23T00:00:00"/>
    <s v="Active"/>
    <n v="70"/>
    <x v="0"/>
    <n v="2"/>
    <s v="Normal"/>
    <n v="3"/>
    <x v="1"/>
  </r>
  <r>
    <s v="P1179"/>
    <s v="EverGreen Foods"/>
    <x v="1"/>
    <x v="8"/>
    <x v="4"/>
    <n v="37883"/>
    <n v="4697386"/>
    <d v="2025-07-20T00:00:00"/>
    <d v="2026-07-23T00:00:00"/>
    <s v="Active"/>
    <n v="131"/>
    <x v="1"/>
    <n v="6"/>
    <s v="High"/>
    <n v="4"/>
    <x v="1"/>
  </r>
  <r>
    <s v="P1180"/>
    <s v="QuickCart Grocery"/>
    <x v="0"/>
    <x v="5"/>
    <x v="4"/>
    <n v="7479"/>
    <n v="3906771"/>
    <d v="2025-11-03T00:00:00"/>
    <d v="2026-11-10T00:00:00"/>
    <s v="Active"/>
    <n v="241"/>
    <x v="0"/>
    <n v="3"/>
    <s v="High"/>
    <n v="5"/>
    <x v="0"/>
  </r>
  <r>
    <s v="P1181"/>
    <s v="GreenLeaf Retail"/>
    <x v="3"/>
    <x v="6"/>
    <x v="4"/>
    <n v="19238"/>
    <n v="1086409"/>
    <d v="2025-09-10T00:00:00"/>
    <d v="2026-09-15T00:00:00"/>
    <s v="Active"/>
    <n v="185"/>
    <x v="1"/>
    <n v="5"/>
    <s v="High"/>
    <n v="4"/>
    <x v="1"/>
  </r>
  <r>
    <s v="P1182"/>
    <s v="Vertex Health Systems"/>
    <x v="1"/>
    <x v="2"/>
    <x v="4"/>
    <n v="7853"/>
    <n v="9416619"/>
    <d v="2025-06-25T00:00:00"/>
    <d v="2026-02-15T00:00:00"/>
    <s v="Expired"/>
    <s v="Expired"/>
    <x v="0"/>
    <n v="1"/>
    <s v="Normal"/>
    <n v="3"/>
    <x v="1"/>
  </r>
  <r>
    <s v="P1183"/>
    <s v="IronGate Manufacturing"/>
    <x v="0"/>
    <x v="0"/>
    <x v="0"/>
    <n v="20802"/>
    <n v="3255211"/>
    <d v="2025-12-12T00:00:00"/>
    <d v="2026-02-26T00:00:00"/>
    <s v="Expired"/>
    <s v="Expired"/>
    <x v="2"/>
    <n v="5"/>
    <s v="High"/>
    <n v="6"/>
    <x v="0"/>
  </r>
  <r>
    <s v="P1184"/>
    <s v="NorthPeak Engineering"/>
    <x v="2"/>
    <x v="5"/>
    <x v="3"/>
    <n v="9782"/>
    <n v="7001430"/>
    <d v="2025-04-26T00:00:00"/>
    <d v="2026-02-10T00:00:00"/>
    <s v="Expired"/>
    <s v="Expired"/>
    <x v="2"/>
    <n v="6"/>
    <s v="High"/>
    <n v="6"/>
    <x v="0"/>
  </r>
  <r>
    <s v="P1185"/>
    <s v="SilverLine Transport"/>
    <x v="3"/>
    <x v="0"/>
    <x v="4"/>
    <n v="7860"/>
    <n v="9946434"/>
    <d v="2025-04-02T00:00:00"/>
    <d v="2026-01-10T00:00:00"/>
    <s v="Expired"/>
    <s v="Expired"/>
    <x v="1"/>
    <n v="0"/>
    <s v="Normal"/>
    <n v="1"/>
    <x v="2"/>
  </r>
  <r>
    <s v="P1186"/>
    <s v="TrueNorth Logistics"/>
    <x v="3"/>
    <x v="0"/>
    <x v="1"/>
    <n v="31612"/>
    <n v="7136944"/>
    <d v="2025-02-05T00:00:00"/>
    <d v="2026-05-21T00:00:00"/>
    <s v="Active"/>
    <n v="68"/>
    <x v="1"/>
    <n v="3"/>
    <s v="High"/>
    <n v="4"/>
    <x v="1"/>
  </r>
  <r>
    <s v="P1187"/>
    <s v="UrbanCare Clinics"/>
    <x v="1"/>
    <x v="1"/>
    <x v="2"/>
    <n v="20788"/>
    <n v="9912365"/>
    <d v="2025-08-17T00:00:00"/>
    <d v="2026-09-03T00:00:00"/>
    <s v="Active"/>
    <n v="173"/>
    <x v="1"/>
    <n v="2"/>
    <s v="Normal"/>
    <n v="2"/>
    <x v="2"/>
  </r>
  <r>
    <s v="P1188"/>
    <s v="UrbanCare Clinics"/>
    <x v="2"/>
    <x v="0"/>
    <x v="2"/>
    <n v="23585"/>
    <n v="865524"/>
    <d v="2025-11-24T00:00:00"/>
    <d v="2026-01-17T00:00:00"/>
    <s v="Expired"/>
    <s v="Expired"/>
    <x v="0"/>
    <n v="5"/>
    <s v="High"/>
    <n v="5"/>
    <x v="0"/>
  </r>
  <r>
    <s v="P1189"/>
    <s v="UrbanBuild Contractors"/>
    <x v="2"/>
    <x v="1"/>
    <x v="1"/>
    <n v="8982"/>
    <n v="9740245"/>
    <d v="2025-01-03T00:00:00"/>
    <d v="2026-01-06T00:00:00"/>
    <s v="Expired"/>
    <s v="Expired"/>
    <x v="0"/>
    <n v="6"/>
    <s v="High"/>
    <n v="5"/>
    <x v="0"/>
  </r>
  <r>
    <s v="P1190"/>
    <s v="QuickCart Grocery"/>
    <x v="3"/>
    <x v="5"/>
    <x v="1"/>
    <n v="23326"/>
    <n v="4317554"/>
    <d v="2025-02-22T00:00:00"/>
    <d v="2026-07-26T00:00:00"/>
    <s v="Active"/>
    <n v="134"/>
    <x v="0"/>
    <n v="4"/>
    <s v="High"/>
    <n v="5"/>
    <x v="0"/>
  </r>
  <r>
    <s v="P1191"/>
    <s v="GreenLeaf Retail"/>
    <x v="2"/>
    <x v="4"/>
    <x v="3"/>
    <n v="11821"/>
    <n v="3451402"/>
    <d v="2025-07-08T00:00:00"/>
    <d v="2026-04-04T00:00:00"/>
    <s v="Expiring Soon"/>
    <n v="21"/>
    <x v="1"/>
    <n v="1"/>
    <s v="Normal"/>
    <n v="2"/>
    <x v="2"/>
  </r>
  <r>
    <s v="P1192"/>
    <s v="Sunrise Farms"/>
    <x v="0"/>
    <x v="5"/>
    <x v="0"/>
    <n v="34554"/>
    <n v="6082398"/>
    <d v="2025-09-23T00:00:00"/>
    <d v="2026-11-05T00:00:00"/>
    <s v="Active"/>
    <n v="236"/>
    <x v="0"/>
    <n v="0"/>
    <s v="Normal"/>
    <n v="2"/>
    <x v="2"/>
  </r>
  <r>
    <s v="P1193"/>
    <s v="BlueSky Developers"/>
    <x v="0"/>
    <x v="2"/>
    <x v="4"/>
    <n v="7462"/>
    <n v="9844481"/>
    <d v="2025-09-02T00:00:00"/>
    <d v="2026-04-20T00:00:00"/>
    <s v="Active"/>
    <n v="37"/>
    <x v="2"/>
    <n v="4"/>
    <s v="High"/>
    <n v="6"/>
    <x v="0"/>
  </r>
  <r>
    <s v="P1194"/>
    <s v="GreenLeaf Retail"/>
    <x v="2"/>
    <x v="2"/>
    <x v="2"/>
    <n v="37116"/>
    <n v="7416558"/>
    <d v="2025-05-04T00:00:00"/>
    <d v="2026-04-28T00:00:00"/>
    <s v="Active"/>
    <n v="45"/>
    <x v="1"/>
    <n v="4"/>
    <s v="High"/>
    <n v="4"/>
    <x v="1"/>
  </r>
  <r>
    <s v="P1195"/>
    <s v="SilverLine Transport"/>
    <x v="0"/>
    <x v="8"/>
    <x v="1"/>
    <n v="38693"/>
    <n v="4466770"/>
    <d v="2025-04-16T00:00:00"/>
    <d v="2026-07-25T00:00:00"/>
    <s v="Active"/>
    <n v="133"/>
    <x v="1"/>
    <n v="4"/>
    <s v="High"/>
    <n v="4"/>
    <x v="1"/>
  </r>
  <r>
    <s v="P1196"/>
    <s v="Coastal Shipping Ltd"/>
    <x v="0"/>
    <x v="9"/>
    <x v="2"/>
    <n v="32665"/>
    <n v="7297148"/>
    <d v="2025-07-17T00:00:00"/>
    <d v="2026-06-01T00:00:00"/>
    <s v="Active"/>
    <n v="79"/>
    <x v="0"/>
    <n v="0"/>
    <s v="Normal"/>
    <n v="2"/>
    <x v="2"/>
  </r>
  <r>
    <s v="P1197"/>
    <s v="UrbanCare Clinics"/>
    <x v="3"/>
    <x v="2"/>
    <x v="4"/>
    <n v="12512"/>
    <n v="1583449"/>
    <d v="2025-11-19T00:00:00"/>
    <d v="2026-07-15T00:00:00"/>
    <s v="Active"/>
    <n v="123"/>
    <x v="1"/>
    <n v="4"/>
    <s v="High"/>
    <n v="4"/>
    <x v="1"/>
  </r>
  <r>
    <s v="P1198"/>
    <s v="TrueNorth Logistics"/>
    <x v="0"/>
    <x v="6"/>
    <x v="0"/>
    <n v="12887"/>
    <n v="3211497"/>
    <d v="2025-07-06T00:00:00"/>
    <d v="2026-03-08T00:00:00"/>
    <s v="Expired"/>
    <s v="Expired"/>
    <x v="2"/>
    <n v="6"/>
    <s v="High"/>
    <n v="6"/>
    <x v="0"/>
  </r>
  <r>
    <s v="P1199"/>
    <s v="IronGate Manufacturing"/>
    <x v="0"/>
    <x v="4"/>
    <x v="2"/>
    <n v="11399"/>
    <n v="9765707"/>
    <d v="2025-06-23T00:00:00"/>
    <d v="2026-11-17T00:00:00"/>
    <s v="Active"/>
    <n v="248"/>
    <x v="2"/>
    <n v="2"/>
    <s v="Normal"/>
    <n v="4"/>
    <x v="1"/>
  </r>
  <r>
    <s v="P1200"/>
    <s v="FreshMart Distribution"/>
    <x v="3"/>
    <x v="1"/>
    <x v="1"/>
    <n v="25901"/>
    <n v="8317822"/>
    <d v="2025-02-09T00:00:00"/>
    <d v="2026-07-25T00:00:00"/>
    <s v="Active"/>
    <n v="133"/>
    <x v="0"/>
    <n v="1"/>
    <s v="Normal"/>
    <n v="3"/>
    <x v="1"/>
  </r>
  <r>
    <s v="P1201"/>
    <s v="Sunrise Farms"/>
    <x v="3"/>
    <x v="5"/>
    <x v="4"/>
    <n v="18987.89"/>
    <n v="5468189"/>
    <d v="2025-01-09T00:00:00"/>
    <d v="2026-06-25T00:00:00"/>
    <s v="Active"/>
    <n v="103"/>
    <x v="0"/>
    <n v="5"/>
    <s v="High"/>
    <n v="5"/>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71B1CD2-9A3E-4790-840C-8AD55CB45C71}" name="industryprem"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rowHeaderCaption="Industry">
  <location ref="B2:C13" firstHeaderRow="1" firstDataRow="1" firstDataCol="1"/>
  <pivotFields count="16">
    <pivotField showAll="0"/>
    <pivotField showAll="0"/>
    <pivotField showAll="0">
      <items count="8">
        <item x="0"/>
        <item x="3"/>
        <item x="2"/>
        <item m="1" x="6"/>
        <item x="1"/>
        <item m="1" x="5"/>
        <item m="1" x="4"/>
        <item t="default"/>
      </items>
    </pivotField>
    <pivotField axis="axisRow" showAll="0" sortType="descending">
      <items count="13">
        <item x="3"/>
        <item x="1"/>
        <item x="2"/>
        <item x="9"/>
        <item x="5"/>
        <item x="6"/>
        <item x="0"/>
        <item x="8"/>
        <item x="4"/>
        <item x="7"/>
        <item m="1" x="11"/>
        <item m="1" x="10"/>
        <item t="default"/>
      </items>
      <autoSortScope>
        <pivotArea dataOnly="0" outline="0" fieldPosition="0">
          <references count="1">
            <reference field="4294967294" count="1" selected="0">
              <x v="0"/>
            </reference>
          </references>
        </pivotArea>
      </autoSortScope>
    </pivotField>
    <pivotField showAll="0">
      <items count="9">
        <item x="2"/>
        <item m="1" x="6"/>
        <item x="1"/>
        <item x="3"/>
        <item m="1" x="7"/>
        <item x="0"/>
        <item x="4"/>
        <item m="1" x="5"/>
        <item t="default"/>
      </items>
    </pivotField>
    <pivotField dataField="1" numFmtId="164" showAll="0"/>
    <pivotField numFmtId="164" showAll="0"/>
    <pivotField numFmtId="14" showAll="0"/>
    <pivotField numFmtId="14" showAll="0"/>
    <pivotField showAll="0"/>
    <pivotField showAll="0"/>
    <pivotField showAll="0">
      <items count="6">
        <item x="1"/>
        <item x="0"/>
        <item x="2"/>
        <item m="1" x="4"/>
        <item m="1" x="3"/>
        <item t="default"/>
      </items>
    </pivotField>
    <pivotField numFmtId="1" showAll="0"/>
    <pivotField showAll="0"/>
    <pivotField showAll="0"/>
    <pivotField showAll="0"/>
  </pivotFields>
  <rowFields count="1">
    <field x="3"/>
  </rowFields>
  <rowItems count="11">
    <i>
      <x v="6"/>
    </i>
    <i>
      <x v="4"/>
    </i>
    <i>
      <x/>
    </i>
    <i>
      <x v="1"/>
    </i>
    <i>
      <x v="5"/>
    </i>
    <i>
      <x v="2"/>
    </i>
    <i>
      <x v="3"/>
    </i>
    <i>
      <x v="7"/>
    </i>
    <i>
      <x v="9"/>
    </i>
    <i>
      <x v="8"/>
    </i>
    <i t="grand">
      <x/>
    </i>
  </rowItems>
  <colItems count="1">
    <i/>
  </colItems>
  <dataFields count="1">
    <dataField name="Total Premium" fld="5" baseField="3" baseItem="6" numFmtId="164"/>
  </dataFields>
  <chartFormats count="1">
    <chartFormat chart="2"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2AF2DF7-F4F3-4CBF-9D08-1AD938DB249D}" name="PivotTable10"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rowHeaderCaption="Final Risk Level">
  <location ref="B16:C20" firstHeaderRow="1" firstDataRow="1" firstDataCol="1"/>
  <pivotFields count="16">
    <pivotField dataField="1" showAll="0"/>
    <pivotField showAll="0"/>
    <pivotField showAll="0"/>
    <pivotField showAll="0"/>
    <pivotField showAll="0"/>
    <pivotField numFmtId="164" showAll="0"/>
    <pivotField numFmtId="164" showAll="0"/>
    <pivotField numFmtId="14" showAll="0"/>
    <pivotField numFmtId="14" showAll="0"/>
    <pivotField showAll="0"/>
    <pivotField showAll="0"/>
    <pivotField showAll="0"/>
    <pivotField numFmtId="1" showAll="0"/>
    <pivotField showAll="0"/>
    <pivotField showAll="0"/>
    <pivotField axis="axisRow" showAll="0">
      <items count="5">
        <item x="2"/>
        <item x="1"/>
        <item x="0"/>
        <item m="1" x="3"/>
        <item t="default"/>
      </items>
    </pivotField>
  </pivotFields>
  <rowFields count="1">
    <field x="15"/>
  </rowFields>
  <rowItems count="4">
    <i>
      <x/>
    </i>
    <i>
      <x v="1"/>
    </i>
    <i>
      <x v="2"/>
    </i>
    <i t="grand">
      <x/>
    </i>
  </rowItems>
  <colItems count="1">
    <i/>
  </colItems>
  <dataFields count="1">
    <dataField name="Number of Policies" fld="0" subtotal="count" baseField="0" baseItem="0"/>
  </dataFields>
  <chartFormats count="5">
    <chartFormat chart="1" format="1" series="1">
      <pivotArea type="data" outline="0" fieldPosition="0">
        <references count="1">
          <reference field="4294967294" count="1" selected="0">
            <x v="0"/>
          </reference>
        </references>
      </pivotArea>
    </chartFormat>
    <chartFormat chart="1" format="2">
      <pivotArea type="data" outline="0" fieldPosition="0">
        <references count="2">
          <reference field="4294967294" count="1" selected="0">
            <x v="0"/>
          </reference>
          <reference field="15" count="1" selected="0">
            <x v="0"/>
          </reference>
        </references>
      </pivotArea>
    </chartFormat>
    <chartFormat chart="1" format="3">
      <pivotArea type="data" outline="0" fieldPosition="0">
        <references count="2">
          <reference field="4294967294" count="1" selected="0">
            <x v="0"/>
          </reference>
          <reference field="15" count="1" selected="0">
            <x v="1"/>
          </reference>
        </references>
      </pivotArea>
    </chartFormat>
    <chartFormat chart="1" format="4">
      <pivotArea type="data" outline="0" fieldPosition="0">
        <references count="2">
          <reference field="4294967294" count="1" selected="0">
            <x v="0"/>
          </reference>
          <reference field="15" count="1" selected="0">
            <x v="2"/>
          </reference>
        </references>
      </pivotArea>
    </chartFormat>
    <chartFormat chart="1" format="5">
      <pivotArea type="data" outline="0" fieldPosition="0">
        <references count="2">
          <reference field="4294967294" count="1" selected="0">
            <x v="0"/>
          </reference>
          <reference field="15"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C9AD105-75A4-4D9C-8363-F671B443058B}" name="policytypecount"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rowHeaderCaption="Policy Type">
  <location ref="E11:F17" firstHeaderRow="1" firstDataRow="1" firstDataCol="1"/>
  <pivotFields count="16">
    <pivotField dataField="1" showAll="0"/>
    <pivotField showAll="0"/>
    <pivotField showAll="0">
      <items count="8">
        <item x="0"/>
        <item x="3"/>
        <item x="2"/>
        <item m="1" x="6"/>
        <item x="1"/>
        <item m="1" x="5"/>
        <item m="1" x="4"/>
        <item t="default"/>
      </items>
    </pivotField>
    <pivotField showAll="0">
      <items count="13">
        <item x="3"/>
        <item x="1"/>
        <item x="2"/>
        <item x="9"/>
        <item x="5"/>
        <item x="6"/>
        <item m="1" x="10"/>
        <item x="0"/>
        <item m="1" x="11"/>
        <item x="8"/>
        <item x="4"/>
        <item x="7"/>
        <item t="default"/>
      </items>
    </pivotField>
    <pivotField axis="axisRow" showAll="0">
      <items count="9">
        <item x="2"/>
        <item x="1"/>
        <item x="3"/>
        <item x="0"/>
        <item x="4"/>
        <item m="1" x="7"/>
        <item m="1" x="5"/>
        <item m="1" x="6"/>
        <item t="default"/>
      </items>
    </pivotField>
    <pivotField numFmtId="164" showAll="0"/>
    <pivotField numFmtId="164" showAll="0"/>
    <pivotField numFmtId="14" showAll="0"/>
    <pivotField numFmtId="14" showAll="0"/>
    <pivotField showAll="0"/>
    <pivotField showAll="0"/>
    <pivotField showAll="0">
      <items count="6">
        <item x="1"/>
        <item x="0"/>
        <item x="2"/>
        <item m="1" x="4"/>
        <item m="1" x="3"/>
        <item t="default"/>
      </items>
    </pivotField>
    <pivotField numFmtId="1" showAll="0"/>
    <pivotField showAll="0"/>
    <pivotField showAll="0"/>
    <pivotField showAll="0"/>
  </pivotFields>
  <rowFields count="1">
    <field x="4"/>
  </rowFields>
  <rowItems count="6">
    <i>
      <x/>
    </i>
    <i>
      <x v="1"/>
    </i>
    <i>
      <x v="2"/>
    </i>
    <i>
      <x v="3"/>
    </i>
    <i>
      <x v="4"/>
    </i>
    <i t="grand">
      <x/>
    </i>
  </rowItems>
  <colItems count="1">
    <i/>
  </colItems>
  <dataFields count="1">
    <dataField name="Total Policy Count " fld="0" subtotal="count" baseField="4" baseItem="0"/>
  </dataFields>
  <chartFormats count="1">
    <chartFormat chart="1"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475F6D6-6D21-4F1F-B4FE-94CA95845461}" name="provinceclaims"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rowHeaderCaption="Province ">
  <location ref="E2:F7" firstHeaderRow="1" firstDataRow="1" firstDataCol="1"/>
  <pivotFields count="16">
    <pivotField showAll="0"/>
    <pivotField showAll="0"/>
    <pivotField axis="axisRow" showAll="0" sortType="descending">
      <items count="8">
        <item x="0"/>
        <item x="3"/>
        <item x="2"/>
        <item x="1"/>
        <item m="1" x="6"/>
        <item m="1" x="4"/>
        <item m="1" x="5"/>
        <item t="default"/>
      </items>
      <autoSortScope>
        <pivotArea dataOnly="0" outline="0" fieldPosition="0">
          <references count="1">
            <reference field="4294967294" count="1" selected="0">
              <x v="0"/>
            </reference>
          </references>
        </pivotArea>
      </autoSortScope>
    </pivotField>
    <pivotField showAll="0">
      <items count="13">
        <item x="3"/>
        <item x="1"/>
        <item x="2"/>
        <item x="9"/>
        <item x="5"/>
        <item x="6"/>
        <item m="1" x="10"/>
        <item x="0"/>
        <item m="1" x="11"/>
        <item x="8"/>
        <item x="4"/>
        <item x="7"/>
        <item t="default"/>
      </items>
    </pivotField>
    <pivotField showAll="0">
      <items count="9">
        <item x="2"/>
        <item m="1" x="6"/>
        <item x="1"/>
        <item x="3"/>
        <item m="1" x="7"/>
        <item x="0"/>
        <item x="4"/>
        <item m="1" x="5"/>
        <item t="default"/>
      </items>
    </pivotField>
    <pivotField numFmtId="164" showAll="0"/>
    <pivotField numFmtId="164" showAll="0"/>
    <pivotField numFmtId="14" showAll="0"/>
    <pivotField numFmtId="14" showAll="0"/>
    <pivotField showAll="0"/>
    <pivotField showAll="0"/>
    <pivotField showAll="0">
      <items count="6">
        <item x="1"/>
        <item x="0"/>
        <item x="2"/>
        <item m="1" x="4"/>
        <item m="1" x="3"/>
        <item t="default"/>
      </items>
    </pivotField>
    <pivotField dataField="1" numFmtId="1" showAll="0"/>
    <pivotField showAll="0"/>
    <pivotField showAll="0"/>
    <pivotField showAll="0"/>
  </pivotFields>
  <rowFields count="1">
    <field x="2"/>
  </rowFields>
  <rowItems count="5">
    <i>
      <x v="2"/>
    </i>
    <i>
      <x/>
    </i>
    <i>
      <x v="1"/>
    </i>
    <i>
      <x v="3"/>
    </i>
    <i t="grand">
      <x/>
    </i>
  </rowItems>
  <colItems count="1">
    <i/>
  </colItems>
  <dataFields count="1">
    <dataField name="Total Claims " fld="12" baseField="2" baseItem="2" numFmtId="1"/>
  </dataFields>
  <chartFormats count="1">
    <chartFormat chart="1"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vince" xr10:uid="{B3A9076C-8A93-44DE-B933-464B96B82897}" sourceName="Province">
  <pivotTables>
    <pivotTable tabId="4" name="provinceclaims"/>
    <pivotTable tabId="4" name="industryprem"/>
    <pivotTable tabId="4" name="policytypecount"/>
  </pivotTables>
  <data>
    <tabular pivotCacheId="1723688855" showMissing="0">
      <items count="7">
        <i x="0" s="1"/>
        <i x="3" s="1"/>
        <i x="2" s="1"/>
        <i x="1" s="1"/>
        <i x="6" s="1" nd="1"/>
        <i x="5" s="1" nd="1"/>
        <i x="4"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ndustry" xr10:uid="{2A448EE0-CC19-4C53-924D-6DC1FEBFDE69}" sourceName="Industry">
  <pivotTables>
    <pivotTable tabId="4" name="provinceclaims"/>
    <pivotTable tabId="4" name="industryprem"/>
    <pivotTable tabId="4" name="policytypecount"/>
  </pivotTables>
  <data>
    <tabular pivotCacheId="1723688855" showMissing="0">
      <items count="12">
        <i x="3" s="1"/>
        <i x="1" s="1"/>
        <i x="2" s="1"/>
        <i x="9" s="1"/>
        <i x="5" s="1"/>
        <i x="6" s="1"/>
        <i x="0" s="1"/>
        <i x="8" s="1"/>
        <i x="4" s="1"/>
        <i x="7" s="1"/>
        <i x="10" s="1" nd="1"/>
        <i x="11" s="1"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olicy_Type" xr10:uid="{033B2CA4-6DA3-4104-80C6-A857AEAB69F0}" sourceName="Policy Type">
  <pivotTables>
    <pivotTable tabId="4" name="provinceclaims"/>
    <pivotTable tabId="4" name="industryprem"/>
    <pivotTable tabId="4" name="policytypecount"/>
  </pivotTables>
  <data>
    <tabular pivotCacheId="1723688855" showMissing="0">
      <items count="8">
        <i x="2" s="1"/>
        <i x="1" s="1"/>
        <i x="3" s="1"/>
        <i x="0" s="1"/>
        <i x="4" s="1"/>
        <i x="6" s="1" nd="1"/>
        <i x="7" s="1" nd="1"/>
        <i x="5" s="1" nd="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isk_Level" xr10:uid="{99696456-F839-4F2E-ACE4-7BFAE9EAC143}" sourceName="Risk Level ">
  <pivotTables>
    <pivotTable tabId="4" name="provinceclaims"/>
    <pivotTable tabId="4" name="industryprem"/>
    <pivotTable tabId="4" name="policytypecount"/>
  </pivotTables>
  <data>
    <tabular pivotCacheId="1723688855" showMissing="0">
      <items count="5">
        <i x="1" s="1"/>
        <i x="0" s="1"/>
        <i x="2" s="1"/>
        <i x="4" s="1" nd="1"/>
        <i x="3" s="1" nd="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vince1" xr10:uid="{4E7D0428-8FAD-4367-8A96-1CD807D1FC4A}" sourceName="Province">
  <extLst>
    <x:ext xmlns:x15="http://schemas.microsoft.com/office/spreadsheetml/2010/11/main" uri="{2F2917AC-EB37-4324-AD4E-5DD8C200BD13}">
      <x15:tableSlicerCache tableId="2" column="3"/>
    </x:ext>
  </extLst>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ndustry1" xr10:uid="{78B691D0-46F3-4A11-A801-7F5ADC5423C9}" sourceName="Industry">
  <extLst>
    <x:ext xmlns:x15="http://schemas.microsoft.com/office/spreadsheetml/2010/11/main" uri="{2F2917AC-EB37-4324-AD4E-5DD8C200BD13}">
      <x15:tableSlicerCache tableId="2" column="4"/>
    </x:ext>
  </extLst>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olicy_Type1" xr10:uid="{7AB72BDE-52FE-44D7-842E-87F4DBE62E23}" sourceName="Policy Type">
  <extLst>
    <x:ext xmlns:x15="http://schemas.microsoft.com/office/spreadsheetml/2010/11/main" uri="{2F2917AC-EB37-4324-AD4E-5DD8C200BD13}">
      <x15:tableSlicerCache tableId="2" column="5"/>
    </x:ext>
  </extLst>
</slicerCacheDefinition>
</file>

<file path=xl/slicerCaches/slicerCache8.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olicy_Status" xr10:uid="{54C6D9DB-6484-472B-B030-B65D3AEEEEC2}" sourceName="Policy Status ">
  <extLst>
    <x:ext xmlns:x15="http://schemas.microsoft.com/office/spreadsheetml/2010/11/main" uri="{2F2917AC-EB37-4324-AD4E-5DD8C200BD13}">
      <x15:tableSlicerCache tableId="2" column="12"/>
    </x:ext>
  </extLst>
</slicerCacheDefinition>
</file>

<file path=xl/slicerCaches/slicerCache9.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isk_Level1" xr10:uid="{E6866D6B-A1D1-4C31-9942-9DD22722F413}" sourceName="Risk Level ">
  <extLst>
    <x:ext xmlns:x15="http://schemas.microsoft.com/office/spreadsheetml/2010/11/main" uri="{2F2917AC-EB37-4324-AD4E-5DD8C200BD13}">
      <x15:tableSlicerCache tableId="2" column="11"/>
    </x:ext>
  </extLst>
</slicerCacheDefinition>
</file>

<file path=xl/slicerCaches/slicerCache10.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laims_Frequency" xr10:uid="{88F8BC52-1A92-4ECC-9E0B-8FD15524F26C}" sourceName=" Claims Frequency ">
  <extLst>
    <x:ext xmlns:x15="http://schemas.microsoft.com/office/spreadsheetml/2010/11/main" uri="{2F2917AC-EB37-4324-AD4E-5DD8C200BD13}">
      <x15:tableSlicerCache tableId="2" column="14" sortOrder="descending"/>
    </x:ext>
  </extLst>
</slicerCacheDefinition>
</file>

<file path=xl/slicerCaches/slicerCache1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Final_Risk_Level" xr10:uid="{A7BC3F79-B0CF-4625-824D-896893DAD404}" sourceName="Final Risk Level">
  <extLst>
    <x:ext xmlns:x15="http://schemas.microsoft.com/office/spreadsheetml/2010/11/main" uri="{2F2917AC-EB37-4324-AD4E-5DD8C200BD13}">
      <x15:tableSlicerCache tableId="2" column="19"/>
    </x:ext>
  </extLst>
</slicerCacheDefinition>
</file>

<file path=xl/slicerCaches/slicerCache1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lient_Name" xr10:uid="{B14D1B0B-EAE1-4CCC-A92B-E6608A00D9C8}" sourceName="Client Name">
  <extLst>
    <x:ext xmlns:x15="http://schemas.microsoft.com/office/spreadsheetml/2010/11/main" uri="{2F2917AC-EB37-4324-AD4E-5DD8C200BD13}">
      <x15:tableSlicerCache tableId="2" column="2"/>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vince 1" xr10:uid="{C818ABB4-2C6F-4EE5-992C-6CE332A4437A}" cache="Slicer_Province1" caption="Province" style="SlicerStyleLight1 2" rowHeight="257175"/>
  <slicer name="Industry 1" xr10:uid="{9698A70B-8FDF-4884-A36F-5BCFDB67FEEF}" cache="Slicer_Industry1" caption="Industry" startItem="7" style="SlicerStyleLight1 2" rowHeight="257175"/>
  <slicer name="Policy Type 1" xr10:uid="{876DBF1E-22D8-47EE-9457-89A1F7ADDA25}" cache="Slicer_Policy_Type1" caption="Policy Type" startItem="2" style="SlicerStyleLight1 2" rowHeight="257175"/>
  <slicer name="Policy Status " xr10:uid="{DC9AC194-09E9-4754-9508-97CC762453B9}" cache="Slicer_Policy_Status" caption="Policy Status " style="SlicerStyleLight1 2" rowHeight="257175"/>
  <slicer name="Risk Level  1" xr10:uid="{B560F6EC-C30A-49A9-883D-279B1163598F}" cache="Slicer_Risk_Level1" caption="Risk Level " style="SlicerStyleLight1 2" rowHeight="257175"/>
  <slicer name=" Claims Frequency " xr10:uid="{F77CB694-6FEC-41CC-A8E0-412D87B8D685}" cache="Slicer_Claims_Frequency" caption=" Claims Frequency " style="SlicerStyleLight1 2" rowHeight="257175"/>
  <slicer name="Final Risk Level" xr10:uid="{46A85CBA-9A7F-4319-BA80-29392CE97512}" cache="Slicer_Final_Risk_Level" caption="Final Risk Level" style="SlicerStyleLight1 2" rowHeight="257175"/>
  <slicer name="Client Name" xr10:uid="{72D9E4DA-AB0C-4AC4-852B-FFAC263D147D}" cache="Slicer_Client_Name" caption="Client Name" style="SlicerStyleLight1 2" rowHeight="257175"/>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vince" xr10:uid="{E67DE2FA-4F99-4368-857A-DEE479E3CF4D}" cache="Slicer_Province" caption="Province" style="SlicerStyleLight1 2" rowHeight="257175"/>
  <slicer name="Industry" xr10:uid="{21212081-8E75-493C-8DC0-960E36A8E63F}" cache="Slicer_Industry" caption="Industry" startItem="4" style="SlicerStyleLight1 2" rowHeight="257175"/>
  <slicer name="Policy Type" xr10:uid="{C00F92B6-A2F3-4473-AC82-2BDBC10745CB}" cache="Slicer_Policy_Type" caption="Policy Type" style="SlicerStyleLight1 2" rowHeight="257175"/>
  <slicer name="Risk Level " xr10:uid="{DA90CF17-7709-4280-AD05-D3CB196130B5}" cache="Slicer_Risk_Level" caption="Risk Level " style="SlicerStyleLight1 2" rowHeight="257175"/>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3978839-3750-49B4-8E21-B8ACAC1E99C2}" name="Table2" displayName="Table2" ref="A7:P208" totalsRowShown="0" headerRowDxfId="8" dataDxfId="7">
  <autoFilter ref="A7:P208" xr:uid="{03978839-3750-49B4-8E21-B8ACAC1E99C2}"/>
  <tableColumns count="16">
    <tableColumn id="1" xr3:uid="{84120167-5041-48D6-B646-EC519C5383C7}" name="Policy ID" dataDxfId="24"/>
    <tableColumn id="2" xr3:uid="{BE16FE42-77FC-4EA3-A734-5742AF7B50DF}" name="Client Name" dataDxfId="23"/>
    <tableColumn id="3" xr3:uid="{C0561861-B91C-487D-898E-6CB7DA3E82E6}" name="Province" dataDxfId="22"/>
    <tableColumn id="4" xr3:uid="{B7B0F56A-9FF6-4920-A6EA-D5DC3C0A51DD}" name="Industry" dataDxfId="21"/>
    <tableColumn id="5" xr3:uid="{19026C18-F060-496B-8AC9-E2038C7BCC21}" name="Policy Type" dataDxfId="20"/>
    <tableColumn id="8" xr3:uid="{41B79209-3FF5-4F94-9B42-C83EDE07A418}" name="Premium" dataDxfId="19"/>
    <tableColumn id="9" xr3:uid="{99FF5641-6CE8-41A0-B7E2-DD2F9AC8B521}" name="Coverage Limit" dataDxfId="18" dataCellStyle="Comma"/>
    <tableColumn id="6" xr3:uid="{E862F9C1-3CEC-4B43-9671-0F6F9A5212C8}" name="Start Date" dataDxfId="17" dataCellStyle="Comma"/>
    <tableColumn id="7" xr3:uid="{69BC6C1C-601F-481F-BE3C-CAE91EDEC54C}" name="End Date" dataDxfId="16" dataCellStyle="Comma"/>
    <tableColumn id="12" xr3:uid="{D10C48F0-AE57-4F9D-8FD8-0F655180A5FC}" name="Policy Status " dataDxfId="15">
      <calculatedColumnFormula array="1">_xlfn.IFS(Table2[[#This Row],[End Date]]-Dashboard!$Z$4&gt;30, "Active",Table2[[#This Row],[End Date]]-Dashboard!$Z$4&gt;0,"Expiring Soon",Table2[[#This Row],[End Date]]-Dashboard!$Z$4&lt;=0,"Expired")</calculatedColumnFormula>
    </tableColumn>
    <tableColumn id="13" xr3:uid="{A20E8359-D97B-4920-8D19-AE870F59BCF7}" name="Days Until Expiry" dataDxfId="14">
      <calculatedColumnFormula>IF(Table2[[#This Row],[End Date]]-Dashboard!$Z$4&lt;=0,"Expired",Table2[[#This Row],[End Date]]-Dashboard!$Z$4)</calculatedColumnFormula>
    </tableColumn>
    <tableColumn id="11" xr3:uid="{3E9AD56E-9E87-4D29-8E23-5F91916AD7EE}" name="Risk Level " dataDxfId="13"/>
    <tableColumn id="10" xr3:uid="{67687A1C-740D-4CA3-833F-F1E5C8EFE77B}" name="Claims Count" dataDxfId="12"/>
    <tableColumn id="14" xr3:uid="{EE1375E2-A816-472B-84CF-6ECDFF2555C1}" name=" Claims Frequency " dataDxfId="11">
      <calculatedColumnFormula array="1">_xlfn.IFS(Table2[[#This Row],[Claims Count]]&gt;=3,"High",Table2[[#This Row],[Claims Count]]&gt;=1,"Medium",Table2[[#This Row],[Claims Count]]=0,"None")</calculatedColumnFormula>
    </tableColumn>
    <tableColumn id="16" xr3:uid="{A99166AB-4A0E-4474-A3E6-F899FCC60E69}" name="Final Risk Score " dataDxfId="10">
      <calculatedColumnFormula array="1">(_xlfn.IFS(Table2[[#This Row],[Risk Level ]]="High",3,Table2[[#This Row],[Risk Level ]]="Medium",2,Table2[[#This Row],[Risk Level ]]="Low",1))+(_xlfn.IFS(Table2[[#This Row],[ Claims Frequency ]]="High",3,Table2[[#This Row],[ Claims Frequency ]]="Medium",1,Table2[[#This Row],[ Claims Frequency ]]="None",0))</calculatedColumnFormula>
    </tableColumn>
    <tableColumn id="19" xr3:uid="{19BA5729-3AB4-4A7C-B1B7-24ED7727EFD0}" name="Final Risk Level" dataDxfId="9">
      <calculatedColumnFormula array="1">_xlfn.IFS(Table2[[#This Row],[Final Risk Score ]]&gt;=5,"High",Table2[[#This Row],[Final Risk Score ]]&gt;=3,"Medium",Table2[[#This Row],[Final Risk Score ]]&lt;=2,"Low")</calculatedColumnFormula>
    </tableColumn>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table" Target="../tables/table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1E3868-1FCC-41F4-8BAC-D6FF85B0791C}">
  <dimension ref="A1:CA208"/>
  <sheetViews>
    <sheetView showGridLines="0" workbookViewId="0">
      <pane ySplit="7" topLeftCell="A8" activePane="bottomLeft" state="frozen"/>
      <selection pane="bottomLeft" activeCell="K214" sqref="K214"/>
    </sheetView>
  </sheetViews>
  <sheetFormatPr defaultRowHeight="15" x14ac:dyDescent="0.25"/>
  <cols>
    <col min="1" max="1" width="14.140625" customWidth="1"/>
    <col min="2" max="2" width="22.28515625" style="3" bestFit="1" customWidth="1"/>
    <col min="3" max="3" width="14.28515625" customWidth="1"/>
    <col min="4" max="4" width="14.85546875" customWidth="1"/>
    <col min="5" max="5" width="17.42578125" bestFit="1" customWidth="1"/>
    <col min="6" max="6" width="14.7109375" customWidth="1"/>
    <col min="7" max="7" width="16.5703125" customWidth="1"/>
    <col min="8" max="8" width="16" style="4" customWidth="1"/>
    <col min="9" max="9" width="15.42578125" style="1" customWidth="1"/>
    <col min="10" max="10" width="13.7109375" style="5" customWidth="1"/>
    <col min="11" max="11" width="14.140625" style="1" customWidth="1"/>
    <col min="12" max="12" width="11.42578125" customWidth="1"/>
    <col min="13" max="13" width="12" style="14" customWidth="1"/>
    <col min="14" max="14" width="16.7109375" customWidth="1"/>
    <col min="15" max="15" width="14" style="8" customWidth="1"/>
    <col min="16" max="16" width="16.5703125" style="7" customWidth="1"/>
    <col min="17" max="17" width="13.7109375" customWidth="1"/>
    <col min="18" max="18" width="13.7109375" style="6" customWidth="1"/>
    <col min="19" max="19" width="15.85546875" style="14" customWidth="1"/>
    <col min="20" max="20" width="13.28515625" style="7" customWidth="1"/>
    <col min="21" max="21" width="13.5703125" style="21" customWidth="1"/>
    <col min="23" max="23" width="9.42578125" bestFit="1" customWidth="1"/>
    <col min="28" max="28" width="9.42578125" bestFit="1" customWidth="1"/>
  </cols>
  <sheetData>
    <row r="1" spans="1:79" ht="19.5" customHeight="1" x14ac:dyDescent="0.25">
      <c r="F1" s="4"/>
      <c r="G1" s="5"/>
      <c r="H1" s="1"/>
      <c r="J1" s="8"/>
      <c r="K1" s="7"/>
      <c r="L1" s="14"/>
      <c r="M1" s="6"/>
      <c r="N1" s="14"/>
      <c r="O1" s="7"/>
      <c r="P1" s="21"/>
      <c r="R1"/>
      <c r="S1"/>
      <c r="T1"/>
      <c r="U1"/>
    </row>
    <row r="2" spans="1:79" ht="19.5" customHeight="1" x14ac:dyDescent="0.25">
      <c r="F2" s="4"/>
      <c r="G2" s="5"/>
      <c r="H2" s="1"/>
      <c r="J2" s="8"/>
      <c r="K2" s="7"/>
      <c r="L2" s="14"/>
      <c r="M2" s="6"/>
      <c r="N2" s="14"/>
      <c r="O2" s="7"/>
      <c r="P2" s="21"/>
      <c r="R2"/>
      <c r="S2"/>
      <c r="T2"/>
      <c r="U2"/>
    </row>
    <row r="3" spans="1:79" ht="19.5" customHeight="1" x14ac:dyDescent="0.25">
      <c r="F3" s="4"/>
      <c r="G3" s="5"/>
      <c r="H3" s="1"/>
      <c r="J3" s="8"/>
      <c r="K3" s="7"/>
      <c r="L3" s="14"/>
      <c r="M3" s="6"/>
      <c r="N3" s="14"/>
      <c r="O3" s="7"/>
      <c r="P3" s="21"/>
      <c r="R3"/>
      <c r="S3"/>
      <c r="T3"/>
      <c r="U3"/>
    </row>
    <row r="4" spans="1:79" ht="19.5" customHeight="1" x14ac:dyDescent="0.25">
      <c r="F4" s="4"/>
      <c r="G4" s="5"/>
      <c r="H4" s="1"/>
      <c r="J4" s="8"/>
      <c r="K4" s="7"/>
      <c r="L4" s="14"/>
      <c r="M4" s="6"/>
      <c r="N4" s="14"/>
      <c r="O4" s="7"/>
      <c r="P4" s="21"/>
      <c r="R4"/>
      <c r="S4"/>
      <c r="T4"/>
      <c r="U4"/>
    </row>
    <row r="5" spans="1:79" ht="19.5" customHeight="1" x14ac:dyDescent="0.25">
      <c r="F5" s="4"/>
      <c r="G5" s="5"/>
      <c r="H5" s="1"/>
      <c r="J5" s="8"/>
      <c r="K5" s="7"/>
      <c r="L5" s="14"/>
      <c r="M5" s="6"/>
      <c r="N5" s="14"/>
      <c r="O5" s="7"/>
      <c r="P5" s="21"/>
      <c r="R5"/>
      <c r="S5"/>
      <c r="T5"/>
      <c r="U5"/>
    </row>
    <row r="6" spans="1:79" ht="19.5" customHeight="1" x14ac:dyDescent="0.25">
      <c r="F6" s="4"/>
      <c r="G6" s="5"/>
      <c r="H6" s="1"/>
      <c r="J6" s="8"/>
      <c r="K6" s="7"/>
      <c r="L6" s="14"/>
      <c r="M6" s="6"/>
      <c r="N6" s="14"/>
      <c r="O6" s="7"/>
      <c r="P6" s="21"/>
      <c r="R6"/>
      <c r="S6"/>
      <c r="T6"/>
      <c r="U6"/>
    </row>
    <row r="7" spans="1:79" ht="50.25" customHeight="1" x14ac:dyDescent="0.35">
      <c r="A7" s="16" t="s">
        <v>4</v>
      </c>
      <c r="B7" s="15" t="s">
        <v>5</v>
      </c>
      <c r="C7" s="16" t="s">
        <v>0</v>
      </c>
      <c r="D7" s="16" t="s">
        <v>1</v>
      </c>
      <c r="E7" s="16" t="s">
        <v>6</v>
      </c>
      <c r="F7" s="28" t="s">
        <v>2</v>
      </c>
      <c r="G7" s="29" t="s">
        <v>9</v>
      </c>
      <c r="H7" s="27" t="s">
        <v>7</v>
      </c>
      <c r="I7" s="27" t="s">
        <v>8</v>
      </c>
      <c r="J7" s="16" t="s">
        <v>12</v>
      </c>
      <c r="K7" s="17" t="s">
        <v>254</v>
      </c>
      <c r="L7" s="15" t="s">
        <v>3</v>
      </c>
      <c r="M7" s="17" t="s">
        <v>10</v>
      </c>
      <c r="N7" s="15" t="s">
        <v>273</v>
      </c>
      <c r="O7" s="16" t="s">
        <v>272</v>
      </c>
      <c r="P7" s="20" t="s">
        <v>276</v>
      </c>
      <c r="R7" s="62"/>
      <c r="S7" s="62"/>
      <c r="T7" s="62"/>
      <c r="U7" s="62"/>
      <c r="V7" s="62"/>
      <c r="W7" s="62"/>
      <c r="X7" s="62"/>
      <c r="Y7" s="62"/>
      <c r="Z7" s="62"/>
      <c r="AA7" s="62"/>
      <c r="AB7" s="62"/>
      <c r="AC7" s="62"/>
      <c r="AD7" s="62"/>
      <c r="AE7" s="62"/>
      <c r="AF7" s="62"/>
      <c r="AG7" s="62"/>
      <c r="AH7" s="62"/>
      <c r="AI7" s="62"/>
      <c r="AJ7" s="62"/>
      <c r="AK7" s="62"/>
      <c r="AL7" s="62"/>
      <c r="AM7" s="62"/>
      <c r="AN7" s="62"/>
      <c r="AO7" s="62"/>
      <c r="AP7" s="62"/>
      <c r="AQ7" s="62"/>
      <c r="AR7" s="62"/>
      <c r="AS7" s="62"/>
      <c r="AT7" s="62"/>
      <c r="AU7" s="62"/>
      <c r="AV7" s="62"/>
      <c r="AW7" s="62"/>
      <c r="AX7" s="62"/>
      <c r="AY7" s="62"/>
      <c r="AZ7" s="62"/>
      <c r="BA7" s="62"/>
      <c r="BB7" s="62"/>
      <c r="BC7" s="62"/>
      <c r="BD7" s="62"/>
      <c r="BE7" s="62"/>
      <c r="BF7" s="62"/>
      <c r="BG7" s="62"/>
      <c r="BH7" s="62"/>
      <c r="BI7" s="62"/>
      <c r="BJ7" s="62"/>
      <c r="BK7" s="62"/>
      <c r="BL7" s="62"/>
      <c r="BM7" s="62"/>
      <c r="BN7" s="62"/>
      <c r="BO7" s="62"/>
      <c r="BP7" s="62"/>
      <c r="BQ7" s="62"/>
      <c r="BR7" s="62"/>
      <c r="BS7" s="62"/>
      <c r="BT7" s="62"/>
      <c r="BU7" s="62"/>
      <c r="BV7" s="62"/>
      <c r="BW7" s="62"/>
      <c r="BX7" s="62"/>
      <c r="BY7" s="62"/>
      <c r="BZ7" s="62"/>
      <c r="CA7" s="62"/>
    </row>
    <row r="8" spans="1:79" x14ac:dyDescent="0.25">
      <c r="A8" s="9" t="s">
        <v>13</v>
      </c>
      <c r="B8" s="13" t="s">
        <v>36</v>
      </c>
      <c r="C8" s="9" t="s">
        <v>21</v>
      </c>
      <c r="D8" s="9" t="s">
        <v>38</v>
      </c>
      <c r="E8" s="9" t="s">
        <v>27</v>
      </c>
      <c r="F8" s="30">
        <v>34349</v>
      </c>
      <c r="G8" s="31">
        <v>3991816</v>
      </c>
      <c r="H8" s="22">
        <v>45805</v>
      </c>
      <c r="I8" s="22">
        <v>46153</v>
      </c>
      <c r="J8" s="9" t="str" cm="1">
        <f t="array" aca="1" ref="J8" ca="1">_xlfn.IFS(Table2[[#This Row],[End Date]]-Dashboard!$Z$4&gt;30, "Active",Table2[[#This Row],[End Date]]-Dashboard!$Z$4&gt;0,"Expiring Soon",Table2[[#This Row],[End Date]]-Dashboard!$Z$4&lt;=0,"Expired")</f>
        <v>Expiring Soon</v>
      </c>
      <c r="K8" s="10">
        <f ca="1">IF(Table2[[#This Row],[End Date]]-Dashboard!$Z$4&lt;=0,"Expired",Table2[[#This Row],[End Date]]-Dashboard!$Z$4)</f>
        <v>6</v>
      </c>
      <c r="L8" s="23" t="s">
        <v>46</v>
      </c>
      <c r="M8" s="10">
        <v>3</v>
      </c>
      <c r="N8" s="9" t="str" cm="1">
        <f t="array" ref="N8">_xlfn.IFS(Table2[[#This Row],[Claims Count]]&gt;=3,"High",Table2[[#This Row],[Claims Count]]&gt;=1,"Medium",Table2[[#This Row],[Claims Count]]=0,"None")</f>
        <v>High</v>
      </c>
      <c r="O8" s="9" cm="1">
        <f t="array" ref="O8">(_xlfn.IFS(Table2[[#This Row],[Risk Level ]]="High",3,Table2[[#This Row],[Risk Level ]]="Medium",2,Table2[[#This Row],[Risk Level ]]="Low",1))+(_xlfn.IFS(Table2[[#This Row],[ Claims Frequency ]]="High",3,Table2[[#This Row],[ Claims Frequency ]]="Medium",1,Table2[[#This Row],[ Claims Frequency ]]="None",0))</f>
        <v>5</v>
      </c>
      <c r="P8" s="24" t="str" cm="1">
        <f t="array" ref="P8">_xlfn.IFS(Table2[[#This Row],[Final Risk Score ]]&gt;=5,"High",Table2[[#This Row],[Final Risk Score ]]&gt;=3,"Medium",Table2[[#This Row],[Final Risk Score ]]&lt;=2,"Low")</f>
        <v>High</v>
      </c>
      <c r="R8"/>
      <c r="S8"/>
      <c r="T8"/>
      <c r="U8"/>
    </row>
    <row r="9" spans="1:79" x14ac:dyDescent="0.25">
      <c r="A9" s="9" t="s">
        <v>19</v>
      </c>
      <c r="B9" s="13" t="s">
        <v>85</v>
      </c>
      <c r="C9" s="9" t="s">
        <v>30</v>
      </c>
      <c r="D9" s="9" t="s">
        <v>22</v>
      </c>
      <c r="E9" s="9" t="s">
        <v>17</v>
      </c>
      <c r="F9" s="30">
        <v>13219</v>
      </c>
      <c r="G9" s="31">
        <v>8312832</v>
      </c>
      <c r="H9" s="22">
        <v>45802</v>
      </c>
      <c r="I9" s="22">
        <v>46038</v>
      </c>
      <c r="J9" s="9" t="str" cm="1">
        <f t="array" aca="1" ref="J9" ca="1">_xlfn.IFS(Table2[[#This Row],[End Date]]-Dashboard!$Z$4&gt;30, "Active",Table2[[#This Row],[End Date]]-Dashboard!$Z$4&gt;0,"Expiring Soon",Table2[[#This Row],[End Date]]-Dashboard!$Z$4&lt;=0,"Expired")</f>
        <v>Expired</v>
      </c>
      <c r="K9" s="10" t="str">
        <f ca="1">IF(Table2[[#This Row],[End Date]]-Dashboard!$Z$4&lt;=0,"Expired",Table2[[#This Row],[End Date]]-Dashboard!$Z$4)</f>
        <v>Expired</v>
      </c>
      <c r="L9" s="13" t="s">
        <v>11</v>
      </c>
      <c r="M9" s="10">
        <v>4</v>
      </c>
      <c r="N9" s="9" t="str" cm="1">
        <f t="array" ref="N9">_xlfn.IFS(Table2[[#This Row],[Claims Count]]&gt;=3,"High",Table2[[#This Row],[Claims Count]]&gt;=1,"Medium",Table2[[#This Row],[Claims Count]]=0,"None")</f>
        <v>High</v>
      </c>
      <c r="O9" s="9" cm="1">
        <f t="array" ref="O9">(_xlfn.IFS(Table2[[#This Row],[Risk Level ]]="High",3,Table2[[#This Row],[Risk Level ]]="Medium",2,Table2[[#This Row],[Risk Level ]]="Low",1))+(_xlfn.IFS(Table2[[#This Row],[ Claims Frequency ]]="High",3,Table2[[#This Row],[ Claims Frequency ]]="Medium",1,Table2[[#This Row],[ Claims Frequency ]]="None",0))</f>
        <v>4</v>
      </c>
      <c r="P9" s="24" t="str" cm="1">
        <f t="array" ref="P9">_xlfn.IFS(Table2[[#This Row],[Final Risk Score ]]&gt;=5,"High",Table2[[#This Row],[Final Risk Score ]]&gt;=3,"Medium",Table2[[#This Row],[Final Risk Score ]]&lt;=2,"Low")</f>
        <v>Medium</v>
      </c>
      <c r="R9"/>
      <c r="S9"/>
      <c r="T9"/>
      <c r="U9"/>
    </row>
    <row r="10" spans="1:79" x14ac:dyDescent="0.25">
      <c r="A10" s="9" t="s">
        <v>24</v>
      </c>
      <c r="B10" s="13" t="s">
        <v>63</v>
      </c>
      <c r="C10" s="9" t="s">
        <v>30</v>
      </c>
      <c r="D10" s="9" t="s">
        <v>31</v>
      </c>
      <c r="E10" s="9" t="s">
        <v>17</v>
      </c>
      <c r="F10" s="30">
        <v>8260</v>
      </c>
      <c r="G10" s="31">
        <v>5365959</v>
      </c>
      <c r="H10" s="22">
        <v>45968</v>
      </c>
      <c r="I10" s="22">
        <v>46260</v>
      </c>
      <c r="J10" s="9" t="str" cm="1">
        <f t="array" aca="1" ref="J10" ca="1">_xlfn.IFS(Table2[[#This Row],[End Date]]-Dashboard!$Z$4&gt;30, "Active",Table2[[#This Row],[End Date]]-Dashboard!$Z$4&gt;0,"Expiring Soon",Table2[[#This Row],[End Date]]-Dashboard!$Z$4&lt;=0,"Expired")</f>
        <v>Active</v>
      </c>
      <c r="K10" s="10">
        <f ca="1">IF(Table2[[#This Row],[End Date]]-Dashboard!$Z$4&lt;=0,"Expired",Table2[[#This Row],[End Date]]-Dashboard!$Z$4)</f>
        <v>113</v>
      </c>
      <c r="L10" s="13" t="s">
        <v>46</v>
      </c>
      <c r="M10" s="10">
        <v>1</v>
      </c>
      <c r="N10" s="9" t="str" cm="1">
        <f t="array" ref="N10">_xlfn.IFS(Table2[[#This Row],[Claims Count]]&gt;=3,"High",Table2[[#This Row],[Claims Count]]&gt;=1,"Medium",Table2[[#This Row],[Claims Count]]=0,"None")</f>
        <v>Medium</v>
      </c>
      <c r="O10" s="9" cm="1">
        <f t="array" ref="O10">(_xlfn.IFS(Table2[[#This Row],[Risk Level ]]="High",3,Table2[[#This Row],[Risk Level ]]="Medium",2,Table2[[#This Row],[Risk Level ]]="Low",1))+(_xlfn.IFS(Table2[[#This Row],[ Claims Frequency ]]="High",3,Table2[[#This Row],[ Claims Frequency ]]="Medium",1,Table2[[#This Row],[ Claims Frequency ]]="None",0))</f>
        <v>3</v>
      </c>
      <c r="P10" s="24" t="str" cm="1">
        <f t="array" ref="P10">_xlfn.IFS(Table2[[#This Row],[Final Risk Score ]]&gt;=5,"High",Table2[[#This Row],[Final Risk Score ]]&gt;=3,"Medium",Table2[[#This Row],[Final Risk Score ]]&lt;=2,"Low")</f>
        <v>Medium</v>
      </c>
      <c r="R10"/>
      <c r="S10"/>
      <c r="T10"/>
      <c r="U10"/>
      <c r="W10" s="1"/>
    </row>
    <row r="11" spans="1:79" x14ac:dyDescent="0.25">
      <c r="A11" s="9" t="s">
        <v>28</v>
      </c>
      <c r="B11" s="13" t="s">
        <v>20</v>
      </c>
      <c r="C11" s="9" t="s">
        <v>37</v>
      </c>
      <c r="D11" s="9" t="s">
        <v>48</v>
      </c>
      <c r="E11" s="9" t="s">
        <v>27</v>
      </c>
      <c r="F11" s="30">
        <v>15929</v>
      </c>
      <c r="G11" s="31">
        <v>1004168</v>
      </c>
      <c r="H11" s="22">
        <v>45957</v>
      </c>
      <c r="I11" s="22">
        <v>46057</v>
      </c>
      <c r="J11" s="9" t="str" cm="1">
        <f t="array" aca="1" ref="J11" ca="1">_xlfn.IFS(Table2[[#This Row],[End Date]]-Dashboard!$Z$4&gt;30, "Active",Table2[[#This Row],[End Date]]-Dashboard!$Z$4&gt;0,"Expiring Soon",Table2[[#This Row],[End Date]]-Dashboard!$Z$4&lt;=0,"Expired")</f>
        <v>Expired</v>
      </c>
      <c r="K11" s="10" t="str">
        <f ca="1">IF(Table2[[#This Row],[End Date]]-Dashboard!$Z$4&lt;=0,"Expired",Table2[[#This Row],[End Date]]-Dashboard!$Z$4)</f>
        <v>Expired</v>
      </c>
      <c r="L11" s="13" t="s">
        <v>46</v>
      </c>
      <c r="M11" s="10">
        <v>2</v>
      </c>
      <c r="N11" s="9" t="str" cm="1">
        <f t="array" ref="N11">_xlfn.IFS(Table2[[#This Row],[Claims Count]]&gt;=3,"High",Table2[[#This Row],[Claims Count]]&gt;=1,"Medium",Table2[[#This Row],[Claims Count]]=0,"None")</f>
        <v>Medium</v>
      </c>
      <c r="O11" s="9" cm="1">
        <f t="array" ref="O11">(_xlfn.IFS(Table2[[#This Row],[Risk Level ]]="High",3,Table2[[#This Row],[Risk Level ]]="Medium",2,Table2[[#This Row],[Risk Level ]]="Low",1))+(_xlfn.IFS(Table2[[#This Row],[ Claims Frequency ]]="High",3,Table2[[#This Row],[ Claims Frequency ]]="Medium",1,Table2[[#This Row],[ Claims Frequency ]]="None",0))</f>
        <v>3</v>
      </c>
      <c r="P11" s="24" t="str" cm="1">
        <f t="array" ref="P11">_xlfn.IFS(Table2[[#This Row],[Final Risk Score ]]&gt;=5,"High",Table2[[#This Row],[Final Risk Score ]]&gt;=3,"Medium",Table2[[#This Row],[Final Risk Score ]]&lt;=2,"Low")</f>
        <v>Medium</v>
      </c>
      <c r="R11"/>
      <c r="S11"/>
      <c r="T11"/>
      <c r="U11"/>
    </row>
    <row r="12" spans="1:79" x14ac:dyDescent="0.25">
      <c r="A12" s="9" t="s">
        <v>32</v>
      </c>
      <c r="B12" s="13" t="s">
        <v>43</v>
      </c>
      <c r="C12" s="9" t="s">
        <v>37</v>
      </c>
      <c r="D12" s="9" t="s">
        <v>57</v>
      </c>
      <c r="E12" s="9" t="s">
        <v>17</v>
      </c>
      <c r="F12" s="30">
        <v>10076</v>
      </c>
      <c r="G12" s="31">
        <v>7171705</v>
      </c>
      <c r="H12" s="22">
        <v>45902</v>
      </c>
      <c r="I12" s="22">
        <v>46115</v>
      </c>
      <c r="J12" s="9" t="str" cm="1">
        <f t="array" aca="1" ref="J12" ca="1">_xlfn.IFS(Table2[[#This Row],[End Date]]-Dashboard!$Z$4&gt;30, "Active",Table2[[#This Row],[End Date]]-Dashboard!$Z$4&gt;0,"Expiring Soon",Table2[[#This Row],[End Date]]-Dashboard!$Z$4&lt;=0,"Expired")</f>
        <v>Expired</v>
      </c>
      <c r="K12" s="10" t="str">
        <f ca="1">IF(Table2[[#This Row],[End Date]]-Dashboard!$Z$4&lt;=0,"Expired",Table2[[#This Row],[End Date]]-Dashboard!$Z$4)</f>
        <v>Expired</v>
      </c>
      <c r="L12" s="13" t="s">
        <v>11</v>
      </c>
      <c r="M12" s="10">
        <v>6</v>
      </c>
      <c r="N12" s="9" t="str" cm="1">
        <f t="array" ref="N12">_xlfn.IFS(Table2[[#This Row],[Claims Count]]&gt;=3,"High",Table2[[#This Row],[Claims Count]]&gt;=1,"Medium",Table2[[#This Row],[Claims Count]]=0,"None")</f>
        <v>High</v>
      </c>
      <c r="O12" s="9" cm="1">
        <f t="array" ref="O12">(_xlfn.IFS(Table2[[#This Row],[Risk Level ]]="High",3,Table2[[#This Row],[Risk Level ]]="Medium",2,Table2[[#This Row],[Risk Level ]]="Low",1))+(_xlfn.IFS(Table2[[#This Row],[ Claims Frequency ]]="High",3,Table2[[#This Row],[ Claims Frequency ]]="Medium",1,Table2[[#This Row],[ Claims Frequency ]]="None",0))</f>
        <v>4</v>
      </c>
      <c r="P12" s="24" t="str" cm="1">
        <f t="array" ref="P12">_xlfn.IFS(Table2[[#This Row],[Final Risk Score ]]&gt;=5,"High",Table2[[#This Row],[Final Risk Score ]]&gt;=3,"Medium",Table2[[#This Row],[Final Risk Score ]]&lt;=2,"Low")</f>
        <v>Medium</v>
      </c>
      <c r="R12"/>
      <c r="S12"/>
      <c r="T12"/>
      <c r="U12"/>
    </row>
    <row r="13" spans="1:79" x14ac:dyDescent="0.25">
      <c r="A13" s="9" t="s">
        <v>35</v>
      </c>
      <c r="B13" s="13" t="s">
        <v>56</v>
      </c>
      <c r="C13" s="9" t="s">
        <v>37</v>
      </c>
      <c r="D13" s="9" t="s">
        <v>57</v>
      </c>
      <c r="E13" s="9" t="s">
        <v>27</v>
      </c>
      <c r="F13" s="30">
        <v>30283</v>
      </c>
      <c r="G13" s="31">
        <v>3825695</v>
      </c>
      <c r="H13" s="22">
        <v>45950</v>
      </c>
      <c r="I13" s="22">
        <v>46188</v>
      </c>
      <c r="J13" s="9" t="str" cm="1">
        <f t="array" aca="1" ref="J13" ca="1">_xlfn.IFS(Table2[[#This Row],[End Date]]-Dashboard!$Z$4&gt;30, "Active",Table2[[#This Row],[End Date]]-Dashboard!$Z$4&gt;0,"Expiring Soon",Table2[[#This Row],[End Date]]-Dashboard!$Z$4&lt;=0,"Expired")</f>
        <v>Active</v>
      </c>
      <c r="K13" s="10">
        <f ca="1">IF(Table2[[#This Row],[End Date]]-Dashboard!$Z$4&lt;=0,"Expired",Table2[[#This Row],[End Date]]-Dashboard!$Z$4)</f>
        <v>41</v>
      </c>
      <c r="L13" s="13" t="s">
        <v>46</v>
      </c>
      <c r="M13" s="10">
        <v>4</v>
      </c>
      <c r="N13" s="9" t="str" cm="1">
        <f t="array" ref="N13">_xlfn.IFS(Table2[[#This Row],[Claims Count]]&gt;=3,"High",Table2[[#This Row],[Claims Count]]&gt;=1,"Medium",Table2[[#This Row],[Claims Count]]=0,"None")</f>
        <v>High</v>
      </c>
      <c r="O13" s="9" cm="1">
        <f t="array" ref="O13">(_xlfn.IFS(Table2[[#This Row],[Risk Level ]]="High",3,Table2[[#This Row],[Risk Level ]]="Medium",2,Table2[[#This Row],[Risk Level ]]="Low",1))+(_xlfn.IFS(Table2[[#This Row],[ Claims Frequency ]]="High",3,Table2[[#This Row],[ Claims Frequency ]]="Medium",1,Table2[[#This Row],[ Claims Frequency ]]="None",0))</f>
        <v>5</v>
      </c>
      <c r="P13" s="24" t="str" cm="1">
        <f t="array" ref="P13">_xlfn.IFS(Table2[[#This Row],[Final Risk Score ]]&gt;=5,"High",Table2[[#This Row],[Final Risk Score ]]&gt;=3,"Medium",Table2[[#This Row],[Final Risk Score ]]&lt;=2,"Low")</f>
        <v>High</v>
      </c>
      <c r="R13"/>
      <c r="S13"/>
      <c r="T13"/>
      <c r="U13"/>
    </row>
    <row r="14" spans="1:79" x14ac:dyDescent="0.25">
      <c r="A14" s="9" t="s">
        <v>40</v>
      </c>
      <c r="B14" s="13" t="s">
        <v>85</v>
      </c>
      <c r="C14" s="9" t="s">
        <v>15</v>
      </c>
      <c r="D14" s="9" t="s">
        <v>38</v>
      </c>
      <c r="E14" s="9" t="s">
        <v>23</v>
      </c>
      <c r="F14" s="30">
        <v>11431</v>
      </c>
      <c r="G14" s="31">
        <v>7261724</v>
      </c>
      <c r="H14" s="22">
        <v>45831</v>
      </c>
      <c r="I14" s="22">
        <v>46245</v>
      </c>
      <c r="J14" s="9" t="str" cm="1">
        <f t="array" aca="1" ref="J14" ca="1">_xlfn.IFS(Table2[[#This Row],[End Date]]-Dashboard!$Z$4&gt;30, "Active",Table2[[#This Row],[End Date]]-Dashboard!$Z$4&gt;0,"Expiring Soon",Table2[[#This Row],[End Date]]-Dashboard!$Z$4&lt;=0,"Expired")</f>
        <v>Active</v>
      </c>
      <c r="K14" s="10">
        <f ca="1">IF(Table2[[#This Row],[End Date]]-Dashboard!$Z$4&lt;=0,"Expired",Table2[[#This Row],[End Date]]-Dashboard!$Z$4)</f>
        <v>98</v>
      </c>
      <c r="L14" s="13" t="s">
        <v>46</v>
      </c>
      <c r="M14" s="10">
        <v>2</v>
      </c>
      <c r="N14" s="9" t="str" cm="1">
        <f t="array" ref="N14">_xlfn.IFS(Table2[[#This Row],[Claims Count]]&gt;=3,"High",Table2[[#This Row],[Claims Count]]&gt;=1,"Medium",Table2[[#This Row],[Claims Count]]=0,"None")</f>
        <v>Medium</v>
      </c>
      <c r="O14" s="9" cm="1">
        <f t="array" ref="O14">(_xlfn.IFS(Table2[[#This Row],[Risk Level ]]="High",3,Table2[[#This Row],[Risk Level ]]="Medium",2,Table2[[#This Row],[Risk Level ]]="Low",1))+(_xlfn.IFS(Table2[[#This Row],[ Claims Frequency ]]="High",3,Table2[[#This Row],[ Claims Frequency ]]="Medium",1,Table2[[#This Row],[ Claims Frequency ]]="None",0))</f>
        <v>3</v>
      </c>
      <c r="P14" s="24" t="str" cm="1">
        <f t="array" ref="P14">_xlfn.IFS(Table2[[#This Row],[Final Risk Score ]]&gt;=5,"High",Table2[[#This Row],[Final Risk Score ]]&gt;=3,"Medium",Table2[[#This Row],[Final Risk Score ]]&lt;=2,"Low")</f>
        <v>Medium</v>
      </c>
      <c r="R14"/>
      <c r="S14"/>
      <c r="T14"/>
      <c r="U14"/>
    </row>
    <row r="15" spans="1:79" x14ac:dyDescent="0.25">
      <c r="A15" s="9" t="s">
        <v>42</v>
      </c>
      <c r="B15" s="13" t="s">
        <v>73</v>
      </c>
      <c r="C15" s="9" t="s">
        <v>21</v>
      </c>
      <c r="D15" s="9" t="s">
        <v>31</v>
      </c>
      <c r="E15" s="9" t="s">
        <v>27</v>
      </c>
      <c r="F15" s="30">
        <v>15311</v>
      </c>
      <c r="G15" s="31">
        <v>6753132</v>
      </c>
      <c r="H15" s="22">
        <v>45672</v>
      </c>
      <c r="I15" s="22">
        <v>46367</v>
      </c>
      <c r="J15" s="9" t="str" cm="1">
        <f t="array" aca="1" ref="J15" ca="1">_xlfn.IFS(Table2[[#This Row],[End Date]]-Dashboard!$Z$4&gt;30, "Active",Table2[[#This Row],[End Date]]-Dashboard!$Z$4&gt;0,"Expiring Soon",Table2[[#This Row],[End Date]]-Dashboard!$Z$4&lt;=0,"Expired")</f>
        <v>Active</v>
      </c>
      <c r="K15" s="10">
        <f ca="1">IF(Table2[[#This Row],[End Date]]-Dashboard!$Z$4&lt;=0,"Expired",Table2[[#This Row],[End Date]]-Dashboard!$Z$4)</f>
        <v>220</v>
      </c>
      <c r="L15" s="13" t="s">
        <v>11</v>
      </c>
      <c r="M15" s="10">
        <v>1</v>
      </c>
      <c r="N15" s="9" t="str" cm="1">
        <f t="array" ref="N15">_xlfn.IFS(Table2[[#This Row],[Claims Count]]&gt;=3,"High",Table2[[#This Row],[Claims Count]]&gt;=1,"Medium",Table2[[#This Row],[Claims Count]]=0,"None")</f>
        <v>Medium</v>
      </c>
      <c r="O15" s="9" cm="1">
        <f t="array" ref="O15">(_xlfn.IFS(Table2[[#This Row],[Risk Level ]]="High",3,Table2[[#This Row],[Risk Level ]]="Medium",2,Table2[[#This Row],[Risk Level ]]="Low",1))+(_xlfn.IFS(Table2[[#This Row],[ Claims Frequency ]]="High",3,Table2[[#This Row],[ Claims Frequency ]]="Medium",1,Table2[[#This Row],[ Claims Frequency ]]="None",0))</f>
        <v>2</v>
      </c>
      <c r="P15" s="24" t="str" cm="1">
        <f t="array" ref="P15">_xlfn.IFS(Table2[[#This Row],[Final Risk Score ]]&gt;=5,"High",Table2[[#This Row],[Final Risk Score ]]&gt;=3,"Medium",Table2[[#This Row],[Final Risk Score ]]&lt;=2,"Low")</f>
        <v>Low</v>
      </c>
      <c r="R15"/>
      <c r="S15"/>
      <c r="T15"/>
      <c r="U15"/>
    </row>
    <row r="16" spans="1:79" x14ac:dyDescent="0.25">
      <c r="A16" s="9" t="s">
        <v>44</v>
      </c>
      <c r="B16" s="13" t="s">
        <v>56</v>
      </c>
      <c r="C16" s="9" t="s">
        <v>37</v>
      </c>
      <c r="D16" s="9" t="s">
        <v>31</v>
      </c>
      <c r="E16" s="9" t="s">
        <v>23</v>
      </c>
      <c r="F16" s="30">
        <v>31834</v>
      </c>
      <c r="G16" s="31">
        <v>2964443</v>
      </c>
      <c r="H16" s="22">
        <v>46007</v>
      </c>
      <c r="I16" s="22">
        <v>46143</v>
      </c>
      <c r="J16" s="9" t="str" cm="1">
        <f t="array" aca="1" ref="J16" ca="1">_xlfn.IFS(Table2[[#This Row],[End Date]]-Dashboard!$Z$4&gt;30, "Active",Table2[[#This Row],[End Date]]-Dashboard!$Z$4&gt;0,"Expiring Soon",Table2[[#This Row],[End Date]]-Dashboard!$Z$4&lt;=0,"Expired")</f>
        <v>Expired</v>
      </c>
      <c r="K16" s="10" t="str">
        <f ca="1">IF(Table2[[#This Row],[End Date]]-Dashboard!$Z$4&lt;=0,"Expired",Table2[[#This Row],[End Date]]-Dashboard!$Z$4)</f>
        <v>Expired</v>
      </c>
      <c r="L16" s="13" t="s">
        <v>18</v>
      </c>
      <c r="M16" s="10">
        <v>1</v>
      </c>
      <c r="N16" s="9" t="str" cm="1">
        <f t="array" ref="N16">_xlfn.IFS(Table2[[#This Row],[Claims Count]]&gt;=3,"High",Table2[[#This Row],[Claims Count]]&gt;=1,"Medium",Table2[[#This Row],[Claims Count]]=0,"None")</f>
        <v>Medium</v>
      </c>
      <c r="O16" s="9" cm="1">
        <f t="array" ref="O16">(_xlfn.IFS(Table2[[#This Row],[Risk Level ]]="High",3,Table2[[#This Row],[Risk Level ]]="Medium",2,Table2[[#This Row],[Risk Level ]]="Low",1))+(_xlfn.IFS(Table2[[#This Row],[ Claims Frequency ]]="High",3,Table2[[#This Row],[ Claims Frequency ]]="Medium",1,Table2[[#This Row],[ Claims Frequency ]]="None",0))</f>
        <v>4</v>
      </c>
      <c r="P16" s="24" t="str" cm="1">
        <f t="array" ref="P16">_xlfn.IFS(Table2[[#This Row],[Final Risk Score ]]&gt;=5,"High",Table2[[#This Row],[Final Risk Score ]]&gt;=3,"Medium",Table2[[#This Row],[Final Risk Score ]]&lt;=2,"Low")</f>
        <v>Medium</v>
      </c>
      <c r="R16"/>
      <c r="S16"/>
      <c r="T16"/>
      <c r="U16"/>
    </row>
    <row r="17" spans="1:21" x14ac:dyDescent="0.25">
      <c r="A17" s="9" t="s">
        <v>47</v>
      </c>
      <c r="B17" s="13" t="s">
        <v>103</v>
      </c>
      <c r="C17" s="9" t="s">
        <v>21</v>
      </c>
      <c r="D17" s="9" t="s">
        <v>16</v>
      </c>
      <c r="E17" s="9" t="s">
        <v>27</v>
      </c>
      <c r="F17" s="30">
        <v>23990</v>
      </c>
      <c r="G17" s="31">
        <v>3489252</v>
      </c>
      <c r="H17" s="22">
        <v>45950</v>
      </c>
      <c r="I17" s="22">
        <v>46191</v>
      </c>
      <c r="J17" s="9" t="str" cm="1">
        <f t="array" aca="1" ref="J17" ca="1">_xlfn.IFS(Table2[[#This Row],[End Date]]-Dashboard!$Z$4&gt;30, "Active",Table2[[#This Row],[End Date]]-Dashboard!$Z$4&gt;0,"Expiring Soon",Table2[[#This Row],[End Date]]-Dashboard!$Z$4&lt;=0,"Expired")</f>
        <v>Active</v>
      </c>
      <c r="K17" s="10">
        <f ca="1">IF(Table2[[#This Row],[End Date]]-Dashboard!$Z$4&lt;=0,"Expired",Table2[[#This Row],[End Date]]-Dashboard!$Z$4)</f>
        <v>44</v>
      </c>
      <c r="L17" s="13" t="s">
        <v>11</v>
      </c>
      <c r="M17" s="10">
        <v>3</v>
      </c>
      <c r="N17" s="9" t="str" cm="1">
        <f t="array" ref="N17">_xlfn.IFS(Table2[[#This Row],[Claims Count]]&gt;=3,"High",Table2[[#This Row],[Claims Count]]&gt;=1,"Medium",Table2[[#This Row],[Claims Count]]=0,"None")</f>
        <v>High</v>
      </c>
      <c r="O17" s="9" cm="1">
        <f t="array" ref="O17">(_xlfn.IFS(Table2[[#This Row],[Risk Level ]]="High",3,Table2[[#This Row],[Risk Level ]]="Medium",2,Table2[[#This Row],[Risk Level ]]="Low",1))+(_xlfn.IFS(Table2[[#This Row],[ Claims Frequency ]]="High",3,Table2[[#This Row],[ Claims Frequency ]]="Medium",1,Table2[[#This Row],[ Claims Frequency ]]="None",0))</f>
        <v>4</v>
      </c>
      <c r="P17" s="24" t="str" cm="1">
        <f t="array" ref="P17">_xlfn.IFS(Table2[[#This Row],[Final Risk Score ]]&gt;=5,"High",Table2[[#This Row],[Final Risk Score ]]&gt;=3,"Medium",Table2[[#This Row],[Final Risk Score ]]&lt;=2,"Low")</f>
        <v>Medium</v>
      </c>
      <c r="R17"/>
      <c r="S17"/>
      <c r="T17"/>
      <c r="U17"/>
    </row>
    <row r="18" spans="1:21" x14ac:dyDescent="0.25">
      <c r="A18" s="9" t="s">
        <v>50</v>
      </c>
      <c r="B18" s="13" t="s">
        <v>43</v>
      </c>
      <c r="C18" s="9" t="s">
        <v>21</v>
      </c>
      <c r="D18" s="9" t="s">
        <v>41</v>
      </c>
      <c r="E18" s="9" t="s">
        <v>17</v>
      </c>
      <c r="F18" s="30">
        <v>35759</v>
      </c>
      <c r="G18" s="31">
        <v>1538810</v>
      </c>
      <c r="H18" s="22">
        <v>45950</v>
      </c>
      <c r="I18" s="22">
        <v>46300</v>
      </c>
      <c r="J18" s="9" t="str" cm="1">
        <f t="array" aca="1" ref="J18" ca="1">_xlfn.IFS(Table2[[#This Row],[End Date]]-Dashboard!$Z$4&gt;30, "Active",Table2[[#This Row],[End Date]]-Dashboard!$Z$4&gt;0,"Expiring Soon",Table2[[#This Row],[End Date]]-Dashboard!$Z$4&lt;=0,"Expired")</f>
        <v>Active</v>
      </c>
      <c r="K18" s="10">
        <f ca="1">IF(Table2[[#This Row],[End Date]]-Dashboard!$Z$4&lt;=0,"Expired",Table2[[#This Row],[End Date]]-Dashboard!$Z$4)</f>
        <v>153</v>
      </c>
      <c r="L18" s="13" t="s">
        <v>46</v>
      </c>
      <c r="M18" s="10">
        <v>1</v>
      </c>
      <c r="N18" s="9" t="str" cm="1">
        <f t="array" ref="N18">_xlfn.IFS(Table2[[#This Row],[Claims Count]]&gt;=3,"High",Table2[[#This Row],[Claims Count]]&gt;=1,"Medium",Table2[[#This Row],[Claims Count]]=0,"None")</f>
        <v>Medium</v>
      </c>
      <c r="O18" s="9" cm="1">
        <f t="array" ref="O18">(_xlfn.IFS(Table2[[#This Row],[Risk Level ]]="High",3,Table2[[#This Row],[Risk Level ]]="Medium",2,Table2[[#This Row],[Risk Level ]]="Low",1))+(_xlfn.IFS(Table2[[#This Row],[ Claims Frequency ]]="High",3,Table2[[#This Row],[ Claims Frequency ]]="Medium",1,Table2[[#This Row],[ Claims Frequency ]]="None",0))</f>
        <v>3</v>
      </c>
      <c r="P18" s="24" t="str" cm="1">
        <f t="array" ref="P18">_xlfn.IFS(Table2[[#This Row],[Final Risk Score ]]&gt;=5,"High",Table2[[#This Row],[Final Risk Score ]]&gt;=3,"Medium",Table2[[#This Row],[Final Risk Score ]]&lt;=2,"Low")</f>
        <v>Medium</v>
      </c>
      <c r="R18"/>
      <c r="S18"/>
      <c r="T18"/>
      <c r="U18"/>
    </row>
    <row r="19" spans="1:21" x14ac:dyDescent="0.25">
      <c r="A19" s="9" t="s">
        <v>52</v>
      </c>
      <c r="B19" s="13" t="s">
        <v>29</v>
      </c>
      <c r="C19" s="9" t="s">
        <v>15</v>
      </c>
      <c r="D19" s="9" t="s">
        <v>38</v>
      </c>
      <c r="E19" s="9" t="s">
        <v>17</v>
      </c>
      <c r="F19" s="30">
        <v>6038</v>
      </c>
      <c r="G19" s="31">
        <v>6451997</v>
      </c>
      <c r="H19" s="22">
        <v>45998</v>
      </c>
      <c r="I19" s="22">
        <v>46167</v>
      </c>
      <c r="J19" s="9" t="str" cm="1">
        <f t="array" aca="1" ref="J19" ca="1">_xlfn.IFS(Table2[[#This Row],[End Date]]-Dashboard!$Z$4&gt;30, "Active",Table2[[#This Row],[End Date]]-Dashboard!$Z$4&gt;0,"Expiring Soon",Table2[[#This Row],[End Date]]-Dashboard!$Z$4&lt;=0,"Expired")</f>
        <v>Expiring Soon</v>
      </c>
      <c r="K19" s="10">
        <f ca="1">IF(Table2[[#This Row],[End Date]]-Dashboard!$Z$4&lt;=0,"Expired",Table2[[#This Row],[End Date]]-Dashboard!$Z$4)</f>
        <v>20</v>
      </c>
      <c r="L19" s="13" t="s">
        <v>46</v>
      </c>
      <c r="M19" s="10">
        <v>5</v>
      </c>
      <c r="N19" s="9" t="str" cm="1">
        <f t="array" ref="N19">_xlfn.IFS(Table2[[#This Row],[Claims Count]]&gt;=3,"High",Table2[[#This Row],[Claims Count]]&gt;=1,"Medium",Table2[[#This Row],[Claims Count]]=0,"None")</f>
        <v>High</v>
      </c>
      <c r="O19" s="9" cm="1">
        <f t="array" ref="O19">(_xlfn.IFS(Table2[[#This Row],[Risk Level ]]="High",3,Table2[[#This Row],[Risk Level ]]="Medium",2,Table2[[#This Row],[Risk Level ]]="Low",1))+(_xlfn.IFS(Table2[[#This Row],[ Claims Frequency ]]="High",3,Table2[[#This Row],[ Claims Frequency ]]="Medium",1,Table2[[#This Row],[ Claims Frequency ]]="None",0))</f>
        <v>5</v>
      </c>
      <c r="P19" s="24" t="str" cm="1">
        <f t="array" ref="P19">_xlfn.IFS(Table2[[#This Row],[Final Risk Score ]]&gt;=5,"High",Table2[[#This Row],[Final Risk Score ]]&gt;=3,"Medium",Table2[[#This Row],[Final Risk Score ]]&lt;=2,"Low")</f>
        <v>High</v>
      </c>
      <c r="R19"/>
      <c r="S19"/>
      <c r="T19"/>
      <c r="U19"/>
    </row>
    <row r="20" spans="1:21" x14ac:dyDescent="0.25">
      <c r="A20" s="9" t="s">
        <v>55</v>
      </c>
      <c r="B20" s="13" t="s">
        <v>85</v>
      </c>
      <c r="C20" s="9" t="s">
        <v>15</v>
      </c>
      <c r="D20" s="9" t="s">
        <v>48</v>
      </c>
      <c r="E20" s="9" t="s">
        <v>23</v>
      </c>
      <c r="F20" s="30">
        <v>27518</v>
      </c>
      <c r="G20" s="31">
        <v>5624855</v>
      </c>
      <c r="H20" s="22">
        <v>45975</v>
      </c>
      <c r="I20" s="22">
        <v>46319</v>
      </c>
      <c r="J20" s="9" t="str" cm="1">
        <f t="array" aca="1" ref="J20" ca="1">_xlfn.IFS(Table2[[#This Row],[End Date]]-Dashboard!$Z$4&gt;30, "Active",Table2[[#This Row],[End Date]]-Dashboard!$Z$4&gt;0,"Expiring Soon",Table2[[#This Row],[End Date]]-Dashboard!$Z$4&lt;=0,"Expired")</f>
        <v>Active</v>
      </c>
      <c r="K20" s="10">
        <f ca="1">IF(Table2[[#This Row],[End Date]]-Dashboard!$Z$4&lt;=0,"Expired",Table2[[#This Row],[End Date]]-Dashboard!$Z$4)</f>
        <v>172</v>
      </c>
      <c r="L20" s="13" t="s">
        <v>11</v>
      </c>
      <c r="M20" s="25">
        <v>3</v>
      </c>
      <c r="N20" s="9" t="str" cm="1">
        <f t="array" ref="N20">_xlfn.IFS(Table2[[#This Row],[Claims Count]]&gt;=3,"High",Table2[[#This Row],[Claims Count]]&gt;=1,"Medium",Table2[[#This Row],[Claims Count]]=0,"None")</f>
        <v>High</v>
      </c>
      <c r="O20" s="9" cm="1">
        <f t="array" ref="O20">(_xlfn.IFS(Table2[[#This Row],[Risk Level ]]="High",3,Table2[[#This Row],[Risk Level ]]="Medium",2,Table2[[#This Row],[Risk Level ]]="Low",1))+(_xlfn.IFS(Table2[[#This Row],[ Claims Frequency ]]="High",3,Table2[[#This Row],[ Claims Frequency ]]="Medium",1,Table2[[#This Row],[ Claims Frequency ]]="None",0))</f>
        <v>4</v>
      </c>
      <c r="P20" s="24" t="str" cm="1">
        <f t="array" ref="P20">_xlfn.IFS(Table2[[#This Row],[Final Risk Score ]]&gt;=5,"High",Table2[[#This Row],[Final Risk Score ]]&gt;=3,"Medium",Table2[[#This Row],[Final Risk Score ]]&lt;=2,"Low")</f>
        <v>Medium</v>
      </c>
      <c r="R20"/>
      <c r="S20"/>
      <c r="T20"/>
      <c r="U20"/>
    </row>
    <row r="21" spans="1:21" x14ac:dyDescent="0.25">
      <c r="A21" s="9" t="s">
        <v>58</v>
      </c>
      <c r="B21" s="13" t="s">
        <v>59</v>
      </c>
      <c r="C21" s="9" t="s">
        <v>37</v>
      </c>
      <c r="D21" s="9" t="s">
        <v>41</v>
      </c>
      <c r="E21" s="9" t="s">
        <v>27</v>
      </c>
      <c r="F21" s="30">
        <v>26036</v>
      </c>
      <c r="G21" s="31">
        <v>1308070</v>
      </c>
      <c r="H21" s="22">
        <v>45671</v>
      </c>
      <c r="I21" s="22">
        <v>46095</v>
      </c>
      <c r="J21" s="9" t="str" cm="1">
        <f t="array" aca="1" ref="J21" ca="1">_xlfn.IFS(Table2[[#This Row],[End Date]]-Dashboard!$Z$4&gt;30, "Active",Table2[[#This Row],[End Date]]-Dashboard!$Z$4&gt;0,"Expiring Soon",Table2[[#This Row],[End Date]]-Dashboard!$Z$4&lt;=0,"Expired")</f>
        <v>Expired</v>
      </c>
      <c r="K21" s="10" t="str">
        <f ca="1">IF(Table2[[#This Row],[End Date]]-Dashboard!$Z$4&lt;=0,"Expired",Table2[[#This Row],[End Date]]-Dashboard!$Z$4)</f>
        <v>Expired</v>
      </c>
      <c r="L21" s="13" t="s">
        <v>18</v>
      </c>
      <c r="M21" s="10">
        <v>4</v>
      </c>
      <c r="N21" s="9" t="str" cm="1">
        <f t="array" ref="N21">_xlfn.IFS(Table2[[#This Row],[Claims Count]]&gt;=3,"High",Table2[[#This Row],[Claims Count]]&gt;=1,"Medium",Table2[[#This Row],[Claims Count]]=0,"None")</f>
        <v>High</v>
      </c>
      <c r="O21" s="9" cm="1">
        <f t="array" ref="O21">(_xlfn.IFS(Table2[[#This Row],[Risk Level ]]="High",3,Table2[[#This Row],[Risk Level ]]="Medium",2,Table2[[#This Row],[Risk Level ]]="Low",1))+(_xlfn.IFS(Table2[[#This Row],[ Claims Frequency ]]="High",3,Table2[[#This Row],[ Claims Frequency ]]="Medium",1,Table2[[#This Row],[ Claims Frequency ]]="None",0))</f>
        <v>6</v>
      </c>
      <c r="P21" s="24" t="str" cm="1">
        <f t="array" ref="P21">_xlfn.IFS(Table2[[#This Row],[Final Risk Score ]]&gt;=5,"High",Table2[[#This Row],[Final Risk Score ]]&gt;=3,"Medium",Table2[[#This Row],[Final Risk Score ]]&lt;=2,"Low")</f>
        <v>High</v>
      </c>
      <c r="R21"/>
      <c r="S21"/>
      <c r="T21"/>
      <c r="U21"/>
    </row>
    <row r="22" spans="1:21" x14ac:dyDescent="0.25">
      <c r="A22" s="9" t="s">
        <v>60</v>
      </c>
      <c r="B22" s="13" t="s">
        <v>53</v>
      </c>
      <c r="C22" s="9" t="s">
        <v>21</v>
      </c>
      <c r="D22" s="9" t="s">
        <v>48</v>
      </c>
      <c r="E22" s="9" t="s">
        <v>49</v>
      </c>
      <c r="F22" s="30">
        <v>21758</v>
      </c>
      <c r="G22" s="31">
        <v>8659161</v>
      </c>
      <c r="H22" s="22">
        <v>45670</v>
      </c>
      <c r="I22" s="22">
        <v>46208</v>
      </c>
      <c r="J22" s="9" t="str" cm="1">
        <f t="array" aca="1" ref="J22" ca="1">_xlfn.IFS(Table2[[#This Row],[End Date]]-Dashboard!$Z$4&gt;30, "Active",Table2[[#This Row],[End Date]]-Dashboard!$Z$4&gt;0,"Expiring Soon",Table2[[#This Row],[End Date]]-Dashboard!$Z$4&lt;=0,"Expired")</f>
        <v>Active</v>
      </c>
      <c r="K22" s="10">
        <f ca="1">IF(Table2[[#This Row],[End Date]]-Dashboard!$Z$4&lt;=0,"Expired",Table2[[#This Row],[End Date]]-Dashboard!$Z$4)</f>
        <v>61</v>
      </c>
      <c r="L22" s="13" t="s">
        <v>18</v>
      </c>
      <c r="M22" s="10">
        <v>6</v>
      </c>
      <c r="N22" s="9" t="str" cm="1">
        <f t="array" ref="N22">_xlfn.IFS(Table2[[#This Row],[Claims Count]]&gt;=3,"High",Table2[[#This Row],[Claims Count]]&gt;=1,"Medium",Table2[[#This Row],[Claims Count]]=0,"None")</f>
        <v>High</v>
      </c>
      <c r="O22" s="9" cm="1">
        <f t="array" ref="O22">(_xlfn.IFS(Table2[[#This Row],[Risk Level ]]="High",3,Table2[[#This Row],[Risk Level ]]="Medium",2,Table2[[#This Row],[Risk Level ]]="Low",1))+(_xlfn.IFS(Table2[[#This Row],[ Claims Frequency ]]="High",3,Table2[[#This Row],[ Claims Frequency ]]="Medium",1,Table2[[#This Row],[ Claims Frequency ]]="None",0))</f>
        <v>6</v>
      </c>
      <c r="P22" s="24" t="str" cm="1">
        <f t="array" ref="P22">_xlfn.IFS(Table2[[#This Row],[Final Risk Score ]]&gt;=5,"High",Table2[[#This Row],[Final Risk Score ]]&gt;=3,"Medium",Table2[[#This Row],[Final Risk Score ]]&lt;=2,"Low")</f>
        <v>High</v>
      </c>
      <c r="R22"/>
      <c r="S22"/>
      <c r="T22"/>
      <c r="U22"/>
    </row>
    <row r="23" spans="1:21" x14ac:dyDescent="0.25">
      <c r="A23" s="9" t="s">
        <v>61</v>
      </c>
      <c r="B23" s="13" t="s">
        <v>53</v>
      </c>
      <c r="C23" s="9" t="s">
        <v>37</v>
      </c>
      <c r="D23" s="9" t="s">
        <v>48</v>
      </c>
      <c r="E23" s="9" t="s">
        <v>23</v>
      </c>
      <c r="F23" s="30">
        <v>21884</v>
      </c>
      <c r="G23" s="31">
        <v>1853170</v>
      </c>
      <c r="H23" s="22">
        <v>45701</v>
      </c>
      <c r="I23" s="22">
        <v>46135</v>
      </c>
      <c r="J23" s="9" t="str" cm="1">
        <f t="array" aca="1" ref="J23" ca="1">_xlfn.IFS(Table2[[#This Row],[End Date]]-Dashboard!$Z$4&gt;30, "Active",Table2[[#This Row],[End Date]]-Dashboard!$Z$4&gt;0,"Expiring Soon",Table2[[#This Row],[End Date]]-Dashboard!$Z$4&lt;=0,"Expired")</f>
        <v>Expired</v>
      </c>
      <c r="K23" s="10" t="str">
        <f ca="1">IF(Table2[[#This Row],[End Date]]-Dashboard!$Z$4&lt;=0,"Expired",Table2[[#This Row],[End Date]]-Dashboard!$Z$4)</f>
        <v>Expired</v>
      </c>
      <c r="L23" s="13" t="s">
        <v>18</v>
      </c>
      <c r="M23" s="10">
        <v>3</v>
      </c>
      <c r="N23" s="9" t="str" cm="1">
        <f t="array" ref="N23">_xlfn.IFS(Table2[[#This Row],[Claims Count]]&gt;=3,"High",Table2[[#This Row],[Claims Count]]&gt;=1,"Medium",Table2[[#This Row],[Claims Count]]=0,"None")</f>
        <v>High</v>
      </c>
      <c r="O23" s="9" cm="1">
        <f t="array" ref="O23">(_xlfn.IFS(Table2[[#This Row],[Risk Level ]]="High",3,Table2[[#This Row],[Risk Level ]]="Medium",2,Table2[[#This Row],[Risk Level ]]="Low",1))+(_xlfn.IFS(Table2[[#This Row],[ Claims Frequency ]]="High",3,Table2[[#This Row],[ Claims Frequency ]]="Medium",1,Table2[[#This Row],[ Claims Frequency ]]="None",0))</f>
        <v>6</v>
      </c>
      <c r="P23" s="24" t="str" cm="1">
        <f t="array" ref="P23">_xlfn.IFS(Table2[[#This Row],[Final Risk Score ]]&gt;=5,"High",Table2[[#This Row],[Final Risk Score ]]&gt;=3,"Medium",Table2[[#This Row],[Final Risk Score ]]&lt;=2,"Low")</f>
        <v>High</v>
      </c>
      <c r="R23"/>
      <c r="S23"/>
      <c r="T23"/>
      <c r="U23"/>
    </row>
    <row r="24" spans="1:21" x14ac:dyDescent="0.25">
      <c r="A24" s="9" t="s">
        <v>62</v>
      </c>
      <c r="B24" s="13" t="s">
        <v>145</v>
      </c>
      <c r="C24" s="9" t="s">
        <v>21</v>
      </c>
      <c r="D24" s="9" t="s">
        <v>48</v>
      </c>
      <c r="E24" s="9" t="s">
        <v>39</v>
      </c>
      <c r="F24" s="30">
        <v>23731</v>
      </c>
      <c r="G24" s="31">
        <v>4280339</v>
      </c>
      <c r="H24" s="22">
        <v>45921</v>
      </c>
      <c r="I24" s="22">
        <v>46035</v>
      </c>
      <c r="J24" s="9" t="str" cm="1">
        <f t="array" aca="1" ref="J24" ca="1">_xlfn.IFS(Table2[[#This Row],[End Date]]-Dashboard!$Z$4&gt;30, "Active",Table2[[#This Row],[End Date]]-Dashboard!$Z$4&gt;0,"Expiring Soon",Table2[[#This Row],[End Date]]-Dashboard!$Z$4&lt;=0,"Expired")</f>
        <v>Expired</v>
      </c>
      <c r="K24" s="10" t="str">
        <f ca="1">IF(Table2[[#This Row],[End Date]]-Dashboard!$Z$4&lt;=0,"Expired",Table2[[#This Row],[End Date]]-Dashboard!$Z$4)</f>
        <v>Expired</v>
      </c>
      <c r="L24" s="13" t="s">
        <v>18</v>
      </c>
      <c r="M24" s="10">
        <v>2</v>
      </c>
      <c r="N24" s="9" t="str" cm="1">
        <f t="array" ref="N24">_xlfn.IFS(Table2[[#This Row],[Claims Count]]&gt;=3,"High",Table2[[#This Row],[Claims Count]]&gt;=1,"Medium",Table2[[#This Row],[Claims Count]]=0,"None")</f>
        <v>Medium</v>
      </c>
      <c r="O24" s="9" cm="1">
        <f t="array" ref="O24">(_xlfn.IFS(Table2[[#This Row],[Risk Level ]]="High",3,Table2[[#This Row],[Risk Level ]]="Medium",2,Table2[[#This Row],[Risk Level ]]="Low",1))+(_xlfn.IFS(Table2[[#This Row],[ Claims Frequency ]]="High",3,Table2[[#This Row],[ Claims Frequency ]]="Medium",1,Table2[[#This Row],[ Claims Frequency ]]="None",0))</f>
        <v>4</v>
      </c>
      <c r="P24" s="24" t="str" cm="1">
        <f t="array" ref="P24">_xlfn.IFS(Table2[[#This Row],[Final Risk Score ]]&gt;=5,"High",Table2[[#This Row],[Final Risk Score ]]&gt;=3,"Medium",Table2[[#This Row],[Final Risk Score ]]&lt;=2,"Low")</f>
        <v>Medium</v>
      </c>
      <c r="R24"/>
      <c r="S24"/>
      <c r="T24"/>
      <c r="U24"/>
    </row>
    <row r="25" spans="1:21" x14ac:dyDescent="0.25">
      <c r="A25" s="9" t="s">
        <v>64</v>
      </c>
      <c r="B25" s="13" t="s">
        <v>63</v>
      </c>
      <c r="C25" s="9" t="s">
        <v>21</v>
      </c>
      <c r="D25" s="9" t="s">
        <v>16</v>
      </c>
      <c r="E25" s="9" t="s">
        <v>23</v>
      </c>
      <c r="F25" s="30">
        <v>12484</v>
      </c>
      <c r="G25" s="31">
        <v>6931416</v>
      </c>
      <c r="H25" s="22">
        <v>45760</v>
      </c>
      <c r="I25" s="22">
        <v>46036</v>
      </c>
      <c r="J25" s="9" t="str" cm="1">
        <f t="array" aca="1" ref="J25" ca="1">_xlfn.IFS(Table2[[#This Row],[End Date]]-Dashboard!$Z$4&gt;30, "Active",Table2[[#This Row],[End Date]]-Dashboard!$Z$4&gt;0,"Expiring Soon",Table2[[#This Row],[End Date]]-Dashboard!$Z$4&lt;=0,"Expired")</f>
        <v>Expired</v>
      </c>
      <c r="K25" s="10" t="str">
        <f ca="1">IF(Table2[[#This Row],[End Date]]-Dashboard!$Z$4&lt;=0,"Expired",Table2[[#This Row],[End Date]]-Dashboard!$Z$4)</f>
        <v>Expired</v>
      </c>
      <c r="L25" s="13" t="s">
        <v>46</v>
      </c>
      <c r="M25" s="10">
        <v>2</v>
      </c>
      <c r="N25" s="9" t="str" cm="1">
        <f t="array" ref="N25">_xlfn.IFS(Table2[[#This Row],[Claims Count]]&gt;=3,"High",Table2[[#This Row],[Claims Count]]&gt;=1,"Medium",Table2[[#This Row],[Claims Count]]=0,"None")</f>
        <v>Medium</v>
      </c>
      <c r="O25" s="9" cm="1">
        <f t="array" ref="O25">(_xlfn.IFS(Table2[[#This Row],[Risk Level ]]="High",3,Table2[[#This Row],[Risk Level ]]="Medium",2,Table2[[#This Row],[Risk Level ]]="Low",1))+(_xlfn.IFS(Table2[[#This Row],[ Claims Frequency ]]="High",3,Table2[[#This Row],[ Claims Frequency ]]="Medium",1,Table2[[#This Row],[ Claims Frequency ]]="None",0))</f>
        <v>3</v>
      </c>
      <c r="P25" s="24" t="str" cm="1">
        <f t="array" ref="P25">_xlfn.IFS(Table2[[#This Row],[Final Risk Score ]]&gt;=5,"High",Table2[[#This Row],[Final Risk Score ]]&gt;=3,"Medium",Table2[[#This Row],[Final Risk Score ]]&lt;=2,"Low")</f>
        <v>Medium</v>
      </c>
      <c r="R25"/>
      <c r="S25"/>
      <c r="T25"/>
      <c r="U25"/>
    </row>
    <row r="26" spans="1:21" x14ac:dyDescent="0.25">
      <c r="A26" s="9" t="s">
        <v>65</v>
      </c>
      <c r="B26" s="13" t="s">
        <v>51</v>
      </c>
      <c r="C26" s="9" t="s">
        <v>15</v>
      </c>
      <c r="D26" s="9" t="s">
        <v>41</v>
      </c>
      <c r="E26" s="9" t="s">
        <v>39</v>
      </c>
      <c r="F26" s="30">
        <v>34200</v>
      </c>
      <c r="G26" s="31">
        <v>2003902</v>
      </c>
      <c r="H26" s="22">
        <v>45924</v>
      </c>
      <c r="I26" s="22">
        <v>46365</v>
      </c>
      <c r="J26" s="9" t="str" cm="1">
        <f t="array" aca="1" ref="J26" ca="1">_xlfn.IFS(Table2[[#This Row],[End Date]]-Dashboard!$Z$4&gt;30, "Active",Table2[[#This Row],[End Date]]-Dashboard!$Z$4&gt;0,"Expiring Soon",Table2[[#This Row],[End Date]]-Dashboard!$Z$4&lt;=0,"Expired")</f>
        <v>Active</v>
      </c>
      <c r="K26" s="10">
        <f ca="1">IF(Table2[[#This Row],[End Date]]-Dashboard!$Z$4&lt;=0,"Expired",Table2[[#This Row],[End Date]]-Dashboard!$Z$4)</f>
        <v>218</v>
      </c>
      <c r="L26" s="13" t="s">
        <v>11</v>
      </c>
      <c r="M26" s="10">
        <v>5</v>
      </c>
      <c r="N26" s="9" t="str" cm="1">
        <f t="array" ref="N26">_xlfn.IFS(Table2[[#This Row],[Claims Count]]&gt;=3,"High",Table2[[#This Row],[Claims Count]]&gt;=1,"Medium",Table2[[#This Row],[Claims Count]]=0,"None")</f>
        <v>High</v>
      </c>
      <c r="O26" s="9" cm="1">
        <f t="array" ref="O26">(_xlfn.IFS(Table2[[#This Row],[Risk Level ]]="High",3,Table2[[#This Row],[Risk Level ]]="Medium",2,Table2[[#This Row],[Risk Level ]]="Low",1))+(_xlfn.IFS(Table2[[#This Row],[ Claims Frequency ]]="High",3,Table2[[#This Row],[ Claims Frequency ]]="Medium",1,Table2[[#This Row],[ Claims Frequency ]]="None",0))</f>
        <v>4</v>
      </c>
      <c r="P26" s="24" t="str" cm="1">
        <f t="array" ref="P26">_xlfn.IFS(Table2[[#This Row],[Final Risk Score ]]&gt;=5,"High",Table2[[#This Row],[Final Risk Score ]]&gt;=3,"Medium",Table2[[#This Row],[Final Risk Score ]]&lt;=2,"Low")</f>
        <v>Medium</v>
      </c>
      <c r="R26"/>
      <c r="S26"/>
      <c r="T26"/>
      <c r="U26"/>
    </row>
    <row r="27" spans="1:21" x14ac:dyDescent="0.25">
      <c r="A27" s="9" t="s">
        <v>66</v>
      </c>
      <c r="B27" s="13" t="s">
        <v>59</v>
      </c>
      <c r="C27" s="9" t="s">
        <v>30</v>
      </c>
      <c r="D27" s="9" t="s">
        <v>16</v>
      </c>
      <c r="E27" s="9" t="s">
        <v>39</v>
      </c>
      <c r="F27" s="30">
        <v>14757</v>
      </c>
      <c r="G27" s="31">
        <v>6468539</v>
      </c>
      <c r="H27" s="22">
        <v>45927</v>
      </c>
      <c r="I27" s="22">
        <v>46159</v>
      </c>
      <c r="J27" s="9" t="str" cm="1">
        <f t="array" aca="1" ref="J27" ca="1">_xlfn.IFS(Table2[[#This Row],[End Date]]-Dashboard!$Z$4&gt;30, "Active",Table2[[#This Row],[End Date]]-Dashboard!$Z$4&gt;0,"Expiring Soon",Table2[[#This Row],[End Date]]-Dashboard!$Z$4&lt;=0,"Expired")</f>
        <v>Expiring Soon</v>
      </c>
      <c r="K27" s="10">
        <f ca="1">IF(Table2[[#This Row],[End Date]]-Dashboard!$Z$4&lt;=0,"Expired",Table2[[#This Row],[End Date]]-Dashboard!$Z$4)</f>
        <v>12</v>
      </c>
      <c r="L27" s="13" t="s">
        <v>18</v>
      </c>
      <c r="M27" s="10">
        <v>6</v>
      </c>
      <c r="N27" s="9" t="str" cm="1">
        <f t="array" ref="N27">_xlfn.IFS(Table2[[#This Row],[Claims Count]]&gt;=3,"High",Table2[[#This Row],[Claims Count]]&gt;=1,"Medium",Table2[[#This Row],[Claims Count]]=0,"None")</f>
        <v>High</v>
      </c>
      <c r="O27" s="9" cm="1">
        <f t="array" ref="O27">(_xlfn.IFS(Table2[[#This Row],[Risk Level ]]="High",3,Table2[[#This Row],[Risk Level ]]="Medium",2,Table2[[#This Row],[Risk Level ]]="Low",1))+(_xlfn.IFS(Table2[[#This Row],[ Claims Frequency ]]="High",3,Table2[[#This Row],[ Claims Frequency ]]="Medium",1,Table2[[#This Row],[ Claims Frequency ]]="None",0))</f>
        <v>6</v>
      </c>
      <c r="P27" s="24" t="str" cm="1">
        <f t="array" ref="P27">_xlfn.IFS(Table2[[#This Row],[Final Risk Score ]]&gt;=5,"High",Table2[[#This Row],[Final Risk Score ]]&gt;=3,"Medium",Table2[[#This Row],[Final Risk Score ]]&lt;=2,"Low")</f>
        <v>High</v>
      </c>
      <c r="R27"/>
      <c r="S27"/>
      <c r="T27"/>
      <c r="U27"/>
    </row>
    <row r="28" spans="1:21" x14ac:dyDescent="0.25">
      <c r="A28" s="9" t="s">
        <v>67</v>
      </c>
      <c r="B28" s="13" t="s">
        <v>53</v>
      </c>
      <c r="C28" s="9" t="s">
        <v>21</v>
      </c>
      <c r="D28" s="9" t="s">
        <v>41</v>
      </c>
      <c r="E28" s="9" t="s">
        <v>27</v>
      </c>
      <c r="F28" s="30">
        <v>11513</v>
      </c>
      <c r="G28" s="31">
        <v>5129479</v>
      </c>
      <c r="H28" s="22">
        <v>45937</v>
      </c>
      <c r="I28" s="22">
        <v>46218</v>
      </c>
      <c r="J28" s="9" t="str" cm="1">
        <f t="array" aca="1" ref="J28" ca="1">_xlfn.IFS(Table2[[#This Row],[End Date]]-Dashboard!$Z$4&gt;30, "Active",Table2[[#This Row],[End Date]]-Dashboard!$Z$4&gt;0,"Expiring Soon",Table2[[#This Row],[End Date]]-Dashboard!$Z$4&lt;=0,"Expired")</f>
        <v>Active</v>
      </c>
      <c r="K28" s="10">
        <f ca="1">IF(Table2[[#This Row],[End Date]]-Dashboard!$Z$4&lt;=0,"Expired",Table2[[#This Row],[End Date]]-Dashboard!$Z$4)</f>
        <v>71</v>
      </c>
      <c r="L28" s="13" t="s">
        <v>18</v>
      </c>
      <c r="M28" s="10">
        <v>3</v>
      </c>
      <c r="N28" s="9" t="str" cm="1">
        <f t="array" ref="N28">_xlfn.IFS(Table2[[#This Row],[Claims Count]]&gt;=3,"High",Table2[[#This Row],[Claims Count]]&gt;=1,"Medium",Table2[[#This Row],[Claims Count]]=0,"None")</f>
        <v>High</v>
      </c>
      <c r="O28" s="26" cm="1">
        <f t="array" ref="O28">(_xlfn.IFS(Table2[[#This Row],[Risk Level ]]="High",3,Table2[[#This Row],[Risk Level ]]="Medium",2,Table2[[#This Row],[Risk Level ]]="Low",1))+(_xlfn.IFS(Table2[[#This Row],[ Claims Frequency ]]="High",3,Table2[[#This Row],[ Claims Frequency ]]="Medium",1,Table2[[#This Row],[ Claims Frequency ]]="None",0))</f>
        <v>6</v>
      </c>
      <c r="P28" s="24" t="str" cm="1">
        <f t="array" ref="P28">_xlfn.IFS(Table2[[#This Row],[Final Risk Score ]]&gt;=5,"High",Table2[[#This Row],[Final Risk Score ]]&gt;=3,"Medium",Table2[[#This Row],[Final Risk Score ]]&lt;=2,"Low")</f>
        <v>High</v>
      </c>
      <c r="R28"/>
      <c r="S28"/>
      <c r="T28"/>
      <c r="U28"/>
    </row>
    <row r="29" spans="1:21" x14ac:dyDescent="0.25">
      <c r="A29" s="9" t="s">
        <v>68</v>
      </c>
      <c r="B29" s="13" t="s">
        <v>14</v>
      </c>
      <c r="C29" s="9" t="s">
        <v>15</v>
      </c>
      <c r="D29" s="9" t="s">
        <v>54</v>
      </c>
      <c r="E29" s="9" t="s">
        <v>39</v>
      </c>
      <c r="F29" s="30">
        <v>21679</v>
      </c>
      <c r="G29" s="31">
        <v>8881655</v>
      </c>
      <c r="H29" s="22">
        <v>45962</v>
      </c>
      <c r="I29" s="22">
        <v>46128</v>
      </c>
      <c r="J29" s="9" t="str" cm="1">
        <f t="array" aca="1" ref="J29" ca="1">_xlfn.IFS(Table2[[#This Row],[End Date]]-Dashboard!$Z$4&gt;30, "Active",Table2[[#This Row],[End Date]]-Dashboard!$Z$4&gt;0,"Expiring Soon",Table2[[#This Row],[End Date]]-Dashboard!$Z$4&lt;=0,"Expired")</f>
        <v>Expired</v>
      </c>
      <c r="K29" s="10" t="str">
        <f ca="1">IF(Table2[[#This Row],[End Date]]-Dashboard!$Z$4&lt;=0,"Expired",Table2[[#This Row],[End Date]]-Dashboard!$Z$4)</f>
        <v>Expired</v>
      </c>
      <c r="L29" s="13" t="s">
        <v>46</v>
      </c>
      <c r="M29" s="10">
        <v>0</v>
      </c>
      <c r="N29" s="9" t="str" cm="1">
        <f t="array" ref="N29">_xlfn.IFS(Table2[[#This Row],[Claims Count]]&gt;=3,"High",Table2[[#This Row],[Claims Count]]&gt;=1,"Medium",Table2[[#This Row],[Claims Count]]=0,"None")</f>
        <v>None</v>
      </c>
      <c r="O29" s="9" cm="1">
        <f t="array" ref="O29">(_xlfn.IFS(Table2[[#This Row],[Risk Level ]]="High",3,Table2[[#This Row],[Risk Level ]]="Medium",2,Table2[[#This Row],[Risk Level ]]="Low",1))+(_xlfn.IFS(Table2[[#This Row],[ Claims Frequency ]]="High",3,Table2[[#This Row],[ Claims Frequency ]]="Medium",1,Table2[[#This Row],[ Claims Frequency ]]="None",0))</f>
        <v>2</v>
      </c>
      <c r="P29" s="24" t="str" cm="1">
        <f t="array" ref="P29">_xlfn.IFS(Table2[[#This Row],[Final Risk Score ]]&gt;=5,"High",Table2[[#This Row],[Final Risk Score ]]&gt;=3,"Medium",Table2[[#This Row],[Final Risk Score ]]&lt;=2,"Low")</f>
        <v>Low</v>
      </c>
      <c r="R29"/>
      <c r="S29"/>
      <c r="T29"/>
      <c r="U29"/>
    </row>
    <row r="30" spans="1:21" x14ac:dyDescent="0.25">
      <c r="A30" s="9" t="s">
        <v>69</v>
      </c>
      <c r="B30" s="13" t="s">
        <v>56</v>
      </c>
      <c r="C30" s="9" t="s">
        <v>21</v>
      </c>
      <c r="D30" s="9" t="s">
        <v>26</v>
      </c>
      <c r="E30" s="9" t="s">
        <v>17</v>
      </c>
      <c r="F30" s="30">
        <v>32866</v>
      </c>
      <c r="G30" s="31">
        <v>8363252</v>
      </c>
      <c r="H30" s="22">
        <v>45889</v>
      </c>
      <c r="I30" s="22">
        <v>46316</v>
      </c>
      <c r="J30" s="9" t="str" cm="1">
        <f t="array" aca="1" ref="J30" ca="1">_xlfn.IFS(Table2[[#This Row],[End Date]]-Dashboard!$Z$4&gt;30, "Active",Table2[[#This Row],[End Date]]-Dashboard!$Z$4&gt;0,"Expiring Soon",Table2[[#This Row],[End Date]]-Dashboard!$Z$4&lt;=0,"Expired")</f>
        <v>Active</v>
      </c>
      <c r="K30" s="10">
        <f ca="1">IF(Table2[[#This Row],[End Date]]-Dashboard!$Z$4&lt;=0,"Expired",Table2[[#This Row],[End Date]]-Dashboard!$Z$4)</f>
        <v>169</v>
      </c>
      <c r="L30" s="13" t="s">
        <v>46</v>
      </c>
      <c r="M30" s="10">
        <v>5</v>
      </c>
      <c r="N30" s="9" t="str" cm="1">
        <f t="array" ref="N30">_xlfn.IFS(Table2[[#This Row],[Claims Count]]&gt;=3,"High",Table2[[#This Row],[Claims Count]]&gt;=1,"Medium",Table2[[#This Row],[Claims Count]]=0,"None")</f>
        <v>High</v>
      </c>
      <c r="O30" s="9" cm="1">
        <f t="array" ref="O30">(_xlfn.IFS(Table2[[#This Row],[Risk Level ]]="High",3,Table2[[#This Row],[Risk Level ]]="Medium",2,Table2[[#This Row],[Risk Level ]]="Low",1))+(_xlfn.IFS(Table2[[#This Row],[ Claims Frequency ]]="High",3,Table2[[#This Row],[ Claims Frequency ]]="Medium",1,Table2[[#This Row],[ Claims Frequency ]]="None",0))</f>
        <v>5</v>
      </c>
      <c r="P30" s="24" t="str" cm="1">
        <f t="array" ref="P30">_xlfn.IFS(Table2[[#This Row],[Final Risk Score ]]&gt;=5,"High",Table2[[#This Row],[Final Risk Score ]]&gt;=3,"Medium",Table2[[#This Row],[Final Risk Score ]]&lt;=2,"Low")</f>
        <v>High</v>
      </c>
      <c r="R30"/>
      <c r="S30"/>
      <c r="T30"/>
      <c r="U30"/>
    </row>
    <row r="31" spans="1:21" x14ac:dyDescent="0.25">
      <c r="A31" s="9" t="s">
        <v>70</v>
      </c>
      <c r="B31" s="13" t="s">
        <v>36</v>
      </c>
      <c r="C31" s="9" t="s">
        <v>37</v>
      </c>
      <c r="D31" s="9" t="s">
        <v>34</v>
      </c>
      <c r="E31" s="9" t="s">
        <v>39</v>
      </c>
      <c r="F31" s="30">
        <v>28860</v>
      </c>
      <c r="G31" s="31">
        <v>9087113</v>
      </c>
      <c r="H31" s="22">
        <v>45826</v>
      </c>
      <c r="I31" s="22">
        <v>46050</v>
      </c>
      <c r="J31" s="9" t="str" cm="1">
        <f t="array" aca="1" ref="J31" ca="1">_xlfn.IFS(Table2[[#This Row],[End Date]]-Dashboard!$Z$4&gt;30, "Active",Table2[[#This Row],[End Date]]-Dashboard!$Z$4&gt;0,"Expiring Soon",Table2[[#This Row],[End Date]]-Dashboard!$Z$4&lt;=0,"Expired")</f>
        <v>Expired</v>
      </c>
      <c r="K31" s="10" t="str">
        <f ca="1">IF(Table2[[#This Row],[End Date]]-Dashboard!$Z$4&lt;=0,"Expired",Table2[[#This Row],[End Date]]-Dashboard!$Z$4)</f>
        <v>Expired</v>
      </c>
      <c r="L31" s="13" t="s">
        <v>11</v>
      </c>
      <c r="M31" s="10">
        <v>3</v>
      </c>
      <c r="N31" s="9" t="str" cm="1">
        <f t="array" ref="N31">_xlfn.IFS(Table2[[#This Row],[Claims Count]]&gt;=3,"High",Table2[[#This Row],[Claims Count]]&gt;=1,"Medium",Table2[[#This Row],[Claims Count]]=0,"None")</f>
        <v>High</v>
      </c>
      <c r="O31" s="9" cm="1">
        <f t="array" ref="O31">(_xlfn.IFS(Table2[[#This Row],[Risk Level ]]="High",3,Table2[[#This Row],[Risk Level ]]="Medium",2,Table2[[#This Row],[Risk Level ]]="Low",1))+(_xlfn.IFS(Table2[[#This Row],[ Claims Frequency ]]="High",3,Table2[[#This Row],[ Claims Frequency ]]="Medium",1,Table2[[#This Row],[ Claims Frequency ]]="None",0))</f>
        <v>4</v>
      </c>
      <c r="P31" s="24" t="str" cm="1">
        <f t="array" ref="P31">_xlfn.IFS(Table2[[#This Row],[Final Risk Score ]]&gt;=5,"High",Table2[[#This Row],[Final Risk Score ]]&gt;=3,"Medium",Table2[[#This Row],[Final Risk Score ]]&lt;=2,"Low")</f>
        <v>Medium</v>
      </c>
      <c r="R31"/>
      <c r="S31"/>
      <c r="T31"/>
      <c r="U31"/>
    </row>
    <row r="32" spans="1:21" x14ac:dyDescent="0.25">
      <c r="A32" s="9" t="s">
        <v>71</v>
      </c>
      <c r="B32" s="13" t="s">
        <v>75</v>
      </c>
      <c r="C32" s="9" t="s">
        <v>37</v>
      </c>
      <c r="D32" s="9" t="s">
        <v>16</v>
      </c>
      <c r="E32" s="9" t="s">
        <v>23</v>
      </c>
      <c r="F32" s="30">
        <v>39534</v>
      </c>
      <c r="G32" s="31">
        <v>7050679</v>
      </c>
      <c r="H32" s="22">
        <v>45812</v>
      </c>
      <c r="I32" s="22">
        <v>46079</v>
      </c>
      <c r="J32" s="9" t="str" cm="1">
        <f t="array" aca="1" ref="J32" ca="1">_xlfn.IFS(Table2[[#This Row],[End Date]]-Dashboard!$Z$4&gt;30, "Active",Table2[[#This Row],[End Date]]-Dashboard!$Z$4&gt;0,"Expiring Soon",Table2[[#This Row],[End Date]]-Dashboard!$Z$4&lt;=0,"Expired")</f>
        <v>Expired</v>
      </c>
      <c r="K32" s="10" t="str">
        <f ca="1">IF(Table2[[#This Row],[End Date]]-Dashboard!$Z$4&lt;=0,"Expired",Table2[[#This Row],[End Date]]-Dashboard!$Z$4)</f>
        <v>Expired</v>
      </c>
      <c r="L32" s="13" t="s">
        <v>11</v>
      </c>
      <c r="M32" s="10">
        <v>0</v>
      </c>
      <c r="N32" s="9" t="str" cm="1">
        <f t="array" ref="N32">_xlfn.IFS(Table2[[#This Row],[Claims Count]]&gt;=3,"High",Table2[[#This Row],[Claims Count]]&gt;=1,"Medium",Table2[[#This Row],[Claims Count]]=0,"None")</f>
        <v>None</v>
      </c>
      <c r="O32" s="9" cm="1">
        <f t="array" ref="O32">(_xlfn.IFS(Table2[[#This Row],[Risk Level ]]="High",3,Table2[[#This Row],[Risk Level ]]="Medium",2,Table2[[#This Row],[Risk Level ]]="Low",1))+(_xlfn.IFS(Table2[[#This Row],[ Claims Frequency ]]="High",3,Table2[[#This Row],[ Claims Frequency ]]="Medium",1,Table2[[#This Row],[ Claims Frequency ]]="None",0))</f>
        <v>1</v>
      </c>
      <c r="P32" s="24" t="str" cm="1">
        <f t="array" ref="P32">_xlfn.IFS(Table2[[#This Row],[Final Risk Score ]]&gt;=5,"High",Table2[[#This Row],[Final Risk Score ]]&gt;=3,"Medium",Table2[[#This Row],[Final Risk Score ]]&lt;=2,"Low")</f>
        <v>Low</v>
      </c>
      <c r="R32"/>
      <c r="S32"/>
      <c r="T32"/>
      <c r="U32"/>
    </row>
    <row r="33" spans="1:23" x14ac:dyDescent="0.25">
      <c r="A33" s="9" t="s">
        <v>72</v>
      </c>
      <c r="B33" s="13" t="s">
        <v>25</v>
      </c>
      <c r="C33" s="9" t="s">
        <v>15</v>
      </c>
      <c r="D33" s="9" t="s">
        <v>31</v>
      </c>
      <c r="E33" s="9" t="s">
        <v>49</v>
      </c>
      <c r="F33" s="30">
        <v>26437</v>
      </c>
      <c r="G33" s="31">
        <v>7114952</v>
      </c>
      <c r="H33" s="22">
        <v>45758</v>
      </c>
      <c r="I33" s="22">
        <v>46121</v>
      </c>
      <c r="J33" s="9" t="str" cm="1">
        <f t="array" aca="1" ref="J33" ca="1">_xlfn.IFS(Table2[[#This Row],[End Date]]-Dashboard!$Z$4&gt;30, "Active",Table2[[#This Row],[End Date]]-Dashboard!$Z$4&gt;0,"Expiring Soon",Table2[[#This Row],[End Date]]-Dashboard!$Z$4&lt;=0,"Expired")</f>
        <v>Expired</v>
      </c>
      <c r="K33" s="10" t="str">
        <f ca="1">IF(Table2[[#This Row],[End Date]]-Dashboard!$Z$4&lt;=0,"Expired",Table2[[#This Row],[End Date]]-Dashboard!$Z$4)</f>
        <v>Expired</v>
      </c>
      <c r="L33" s="13" t="s">
        <v>11</v>
      </c>
      <c r="M33" s="10">
        <v>6</v>
      </c>
      <c r="N33" s="9" t="str" cm="1">
        <f t="array" ref="N33">_xlfn.IFS(Table2[[#This Row],[Claims Count]]&gt;=3,"High",Table2[[#This Row],[Claims Count]]&gt;=1,"Medium",Table2[[#This Row],[Claims Count]]=0,"None")</f>
        <v>High</v>
      </c>
      <c r="O33" s="9" cm="1">
        <f t="array" ref="O33">(_xlfn.IFS(Table2[[#This Row],[Risk Level ]]="High",3,Table2[[#This Row],[Risk Level ]]="Medium",2,Table2[[#This Row],[Risk Level ]]="Low",1))+(_xlfn.IFS(Table2[[#This Row],[ Claims Frequency ]]="High",3,Table2[[#This Row],[ Claims Frequency ]]="Medium",1,Table2[[#This Row],[ Claims Frequency ]]="None",0))</f>
        <v>4</v>
      </c>
      <c r="P33" s="24" t="str" cm="1">
        <f t="array" ref="P33">_xlfn.IFS(Table2[[#This Row],[Final Risk Score ]]&gt;=5,"High",Table2[[#This Row],[Final Risk Score ]]&gt;=3,"Medium",Table2[[#This Row],[Final Risk Score ]]&lt;=2,"Low")</f>
        <v>Medium</v>
      </c>
      <c r="R33"/>
      <c r="S33"/>
      <c r="T33"/>
      <c r="U33"/>
    </row>
    <row r="34" spans="1:23" x14ac:dyDescent="0.25">
      <c r="A34" s="9" t="s">
        <v>74</v>
      </c>
      <c r="B34" s="13" t="s">
        <v>43</v>
      </c>
      <c r="C34" s="9" t="s">
        <v>37</v>
      </c>
      <c r="D34" s="9" t="s">
        <v>41</v>
      </c>
      <c r="E34" s="9" t="s">
        <v>27</v>
      </c>
      <c r="F34" s="30">
        <v>12768</v>
      </c>
      <c r="G34" s="31">
        <v>4517061</v>
      </c>
      <c r="H34" s="22">
        <v>45797</v>
      </c>
      <c r="I34" s="22">
        <v>46360</v>
      </c>
      <c r="J34" s="9" t="str" cm="1">
        <f t="array" aca="1" ref="J34" ca="1">_xlfn.IFS(Table2[[#This Row],[End Date]]-Dashboard!$Z$4&gt;30, "Active",Table2[[#This Row],[End Date]]-Dashboard!$Z$4&gt;0,"Expiring Soon",Table2[[#This Row],[End Date]]-Dashboard!$Z$4&lt;=0,"Expired")</f>
        <v>Active</v>
      </c>
      <c r="K34" s="10">
        <f ca="1">IF(Table2[[#This Row],[End Date]]-Dashboard!$Z$4&lt;=0,"Expired",Table2[[#This Row],[End Date]]-Dashboard!$Z$4)</f>
        <v>213</v>
      </c>
      <c r="L34" s="13" t="s">
        <v>11</v>
      </c>
      <c r="M34" s="10">
        <v>1</v>
      </c>
      <c r="N34" s="9" t="str" cm="1">
        <f t="array" ref="N34">_xlfn.IFS(Table2[[#This Row],[Claims Count]]&gt;=3,"High",Table2[[#This Row],[Claims Count]]&gt;=1,"Medium",Table2[[#This Row],[Claims Count]]=0,"None")</f>
        <v>Medium</v>
      </c>
      <c r="O34" s="9" cm="1">
        <f t="array" ref="O34">(_xlfn.IFS(Table2[[#This Row],[Risk Level ]]="High",3,Table2[[#This Row],[Risk Level ]]="Medium",2,Table2[[#This Row],[Risk Level ]]="Low",1))+(_xlfn.IFS(Table2[[#This Row],[ Claims Frequency ]]="High",3,Table2[[#This Row],[ Claims Frequency ]]="Medium",1,Table2[[#This Row],[ Claims Frequency ]]="None",0))</f>
        <v>2</v>
      </c>
      <c r="P34" s="24" t="str" cm="1">
        <f t="array" ref="P34">_xlfn.IFS(Table2[[#This Row],[Final Risk Score ]]&gt;=5,"High",Table2[[#This Row],[Final Risk Score ]]&gt;=3,"Medium",Table2[[#This Row],[Final Risk Score ]]&lt;=2,"Low")</f>
        <v>Low</v>
      </c>
      <c r="R34"/>
      <c r="S34"/>
      <c r="T34"/>
      <c r="U34"/>
    </row>
    <row r="35" spans="1:23" x14ac:dyDescent="0.25">
      <c r="A35" s="9" t="s">
        <v>76</v>
      </c>
      <c r="B35" s="13" t="s">
        <v>14</v>
      </c>
      <c r="C35" s="9" t="s">
        <v>37</v>
      </c>
      <c r="D35" s="9" t="s">
        <v>38</v>
      </c>
      <c r="E35" s="9" t="s">
        <v>27</v>
      </c>
      <c r="F35" s="30">
        <v>37630</v>
      </c>
      <c r="G35" s="31">
        <v>7573529</v>
      </c>
      <c r="H35" s="22">
        <v>45784</v>
      </c>
      <c r="I35" s="22">
        <v>46139</v>
      </c>
      <c r="J35" s="9" t="str" cm="1">
        <f t="array" aca="1" ref="J35" ca="1">_xlfn.IFS(Table2[[#This Row],[End Date]]-Dashboard!$Z$4&gt;30, "Active",Table2[[#This Row],[End Date]]-Dashboard!$Z$4&gt;0,"Expiring Soon",Table2[[#This Row],[End Date]]-Dashboard!$Z$4&lt;=0,"Expired")</f>
        <v>Expired</v>
      </c>
      <c r="K35" s="10" t="str">
        <f ca="1">IF(Table2[[#This Row],[End Date]]-Dashboard!$Z$4&lt;=0,"Expired",Table2[[#This Row],[End Date]]-Dashboard!$Z$4)</f>
        <v>Expired</v>
      </c>
      <c r="L35" s="13" t="s">
        <v>18</v>
      </c>
      <c r="M35" s="10">
        <v>0</v>
      </c>
      <c r="N35" s="9" t="str" cm="1">
        <f t="array" ref="N35">_xlfn.IFS(Table2[[#This Row],[Claims Count]]&gt;=3,"High",Table2[[#This Row],[Claims Count]]&gt;=1,"Medium",Table2[[#This Row],[Claims Count]]=0,"None")</f>
        <v>None</v>
      </c>
      <c r="O35" s="9" cm="1">
        <f t="array" ref="O35">(_xlfn.IFS(Table2[[#This Row],[Risk Level ]]="High",3,Table2[[#This Row],[Risk Level ]]="Medium",2,Table2[[#This Row],[Risk Level ]]="Low",1))+(_xlfn.IFS(Table2[[#This Row],[ Claims Frequency ]]="High",3,Table2[[#This Row],[ Claims Frequency ]]="Medium",1,Table2[[#This Row],[ Claims Frequency ]]="None",0))</f>
        <v>3</v>
      </c>
      <c r="P35" s="24" t="str" cm="1">
        <f t="array" ref="P35">_xlfn.IFS(Table2[[#This Row],[Final Risk Score ]]&gt;=5,"High",Table2[[#This Row],[Final Risk Score ]]&gt;=3,"Medium",Table2[[#This Row],[Final Risk Score ]]&lt;=2,"Low")</f>
        <v>Medium</v>
      </c>
      <c r="R35"/>
      <c r="S35"/>
      <c r="T35"/>
      <c r="U35"/>
    </row>
    <row r="36" spans="1:23" x14ac:dyDescent="0.25">
      <c r="A36" s="9" t="s">
        <v>78</v>
      </c>
      <c r="B36" s="13" t="s">
        <v>56</v>
      </c>
      <c r="C36" s="9" t="s">
        <v>37</v>
      </c>
      <c r="D36" s="9" t="s">
        <v>57</v>
      </c>
      <c r="E36" s="9" t="s">
        <v>23</v>
      </c>
      <c r="F36" s="30">
        <v>13121</v>
      </c>
      <c r="G36" s="31">
        <v>3468291</v>
      </c>
      <c r="H36" s="22">
        <v>45860</v>
      </c>
      <c r="I36" s="22">
        <v>46272</v>
      </c>
      <c r="J36" s="9" t="str" cm="1">
        <f t="array" aca="1" ref="J36" ca="1">_xlfn.IFS(Table2[[#This Row],[End Date]]-Dashboard!$Z$4&gt;30, "Active",Table2[[#This Row],[End Date]]-Dashboard!$Z$4&gt;0,"Expiring Soon",Table2[[#This Row],[End Date]]-Dashboard!$Z$4&lt;=0,"Expired")</f>
        <v>Active</v>
      </c>
      <c r="K36" s="10">
        <f ca="1">IF(Table2[[#This Row],[End Date]]-Dashboard!$Z$4&lt;=0,"Expired",Table2[[#This Row],[End Date]]-Dashboard!$Z$4)</f>
        <v>125</v>
      </c>
      <c r="L36" s="13" t="s">
        <v>18</v>
      </c>
      <c r="M36" s="10">
        <v>2</v>
      </c>
      <c r="N36" s="9" t="str" cm="1">
        <f t="array" ref="N36">_xlfn.IFS(Table2[[#This Row],[Claims Count]]&gt;=3,"High",Table2[[#This Row],[Claims Count]]&gt;=1,"Medium",Table2[[#This Row],[Claims Count]]=0,"None")</f>
        <v>Medium</v>
      </c>
      <c r="O36" s="9" cm="1">
        <f t="array" ref="O36">(_xlfn.IFS(Table2[[#This Row],[Risk Level ]]="High",3,Table2[[#This Row],[Risk Level ]]="Medium",2,Table2[[#This Row],[Risk Level ]]="Low",1))+(_xlfn.IFS(Table2[[#This Row],[ Claims Frequency ]]="High",3,Table2[[#This Row],[ Claims Frequency ]]="Medium",1,Table2[[#This Row],[ Claims Frequency ]]="None",0))</f>
        <v>4</v>
      </c>
      <c r="P36" s="24" t="str" cm="1">
        <f t="array" ref="P36">_xlfn.IFS(Table2[[#This Row],[Final Risk Score ]]&gt;=5,"High",Table2[[#This Row],[Final Risk Score ]]&gt;=3,"Medium",Table2[[#This Row],[Final Risk Score ]]&lt;=2,"Low")</f>
        <v>Medium</v>
      </c>
      <c r="R36"/>
      <c r="S36"/>
      <c r="T36"/>
      <c r="U36"/>
    </row>
    <row r="37" spans="1:23" x14ac:dyDescent="0.25">
      <c r="A37" s="9" t="s">
        <v>79</v>
      </c>
      <c r="B37" s="13" t="s">
        <v>77</v>
      </c>
      <c r="C37" s="9" t="s">
        <v>30</v>
      </c>
      <c r="D37" s="9" t="s">
        <v>22</v>
      </c>
      <c r="E37" s="9" t="s">
        <v>27</v>
      </c>
      <c r="F37" s="30">
        <v>35356</v>
      </c>
      <c r="G37" s="31">
        <v>3368949</v>
      </c>
      <c r="H37" s="22">
        <v>45995</v>
      </c>
      <c r="I37" s="22">
        <v>46269</v>
      </c>
      <c r="J37" s="9" t="str" cm="1">
        <f t="array" aca="1" ref="J37" ca="1">_xlfn.IFS(Table2[[#This Row],[End Date]]-Dashboard!$Z$4&gt;30, "Active",Table2[[#This Row],[End Date]]-Dashboard!$Z$4&gt;0,"Expiring Soon",Table2[[#This Row],[End Date]]-Dashboard!$Z$4&lt;=0,"Expired")</f>
        <v>Active</v>
      </c>
      <c r="K37" s="10">
        <f ca="1">IF(Table2[[#This Row],[End Date]]-Dashboard!$Z$4&lt;=0,"Expired",Table2[[#This Row],[End Date]]-Dashboard!$Z$4)</f>
        <v>122</v>
      </c>
      <c r="L37" s="13" t="s">
        <v>46</v>
      </c>
      <c r="M37" s="10">
        <v>3</v>
      </c>
      <c r="N37" s="9" t="str" cm="1">
        <f t="array" ref="N37">_xlfn.IFS(Table2[[#This Row],[Claims Count]]&gt;=3,"High",Table2[[#This Row],[Claims Count]]&gt;=1,"Medium",Table2[[#This Row],[Claims Count]]=0,"None")</f>
        <v>High</v>
      </c>
      <c r="O37" s="9" cm="1">
        <f t="array" ref="O37">(_xlfn.IFS(Table2[[#This Row],[Risk Level ]]="High",3,Table2[[#This Row],[Risk Level ]]="Medium",2,Table2[[#This Row],[Risk Level ]]="Low",1))+(_xlfn.IFS(Table2[[#This Row],[ Claims Frequency ]]="High",3,Table2[[#This Row],[ Claims Frequency ]]="Medium",1,Table2[[#This Row],[ Claims Frequency ]]="None",0))</f>
        <v>5</v>
      </c>
      <c r="P37" s="24" t="str" cm="1">
        <f t="array" ref="P37">_xlfn.IFS(Table2[[#This Row],[Final Risk Score ]]&gt;=5,"High",Table2[[#This Row],[Final Risk Score ]]&gt;=3,"Medium",Table2[[#This Row],[Final Risk Score ]]&lt;=2,"Low")</f>
        <v>High</v>
      </c>
      <c r="R37"/>
      <c r="S37"/>
      <c r="T37"/>
      <c r="U37"/>
    </row>
    <row r="38" spans="1:23" x14ac:dyDescent="0.25">
      <c r="A38" s="9" t="s">
        <v>80</v>
      </c>
      <c r="B38" s="13" t="s">
        <v>51</v>
      </c>
      <c r="C38" s="9" t="s">
        <v>30</v>
      </c>
      <c r="D38" s="9" t="s">
        <v>38</v>
      </c>
      <c r="E38" s="9" t="s">
        <v>27</v>
      </c>
      <c r="F38" s="30">
        <v>33680</v>
      </c>
      <c r="G38" s="31">
        <v>8529563</v>
      </c>
      <c r="H38" s="22">
        <v>45698</v>
      </c>
      <c r="I38" s="22">
        <v>46376</v>
      </c>
      <c r="J38" s="9" t="str" cm="1">
        <f t="array" aca="1" ref="J38" ca="1">_xlfn.IFS(Table2[[#This Row],[End Date]]-Dashboard!$Z$4&gt;30, "Active",Table2[[#This Row],[End Date]]-Dashboard!$Z$4&gt;0,"Expiring Soon",Table2[[#This Row],[End Date]]-Dashboard!$Z$4&lt;=0,"Expired")</f>
        <v>Active</v>
      </c>
      <c r="K38" s="10">
        <f ca="1">IF(Table2[[#This Row],[End Date]]-Dashboard!$Z$4&lt;=0,"Expired",Table2[[#This Row],[End Date]]-Dashboard!$Z$4)</f>
        <v>229</v>
      </c>
      <c r="L38" s="13" t="s">
        <v>18</v>
      </c>
      <c r="M38" s="10">
        <v>4</v>
      </c>
      <c r="N38" s="9" t="str" cm="1">
        <f t="array" ref="N38">_xlfn.IFS(Table2[[#This Row],[Claims Count]]&gt;=3,"High",Table2[[#This Row],[Claims Count]]&gt;=1,"Medium",Table2[[#This Row],[Claims Count]]=0,"None")</f>
        <v>High</v>
      </c>
      <c r="O38" s="9" cm="1">
        <f t="array" ref="O38">(_xlfn.IFS(Table2[[#This Row],[Risk Level ]]="High",3,Table2[[#This Row],[Risk Level ]]="Medium",2,Table2[[#This Row],[Risk Level ]]="Low",1))+(_xlfn.IFS(Table2[[#This Row],[ Claims Frequency ]]="High",3,Table2[[#This Row],[ Claims Frequency ]]="Medium",1,Table2[[#This Row],[ Claims Frequency ]]="None",0))</f>
        <v>6</v>
      </c>
      <c r="P38" s="24" t="str" cm="1">
        <f t="array" ref="P38">_xlfn.IFS(Table2[[#This Row],[Final Risk Score ]]&gt;=5,"High",Table2[[#This Row],[Final Risk Score ]]&gt;=3,"Medium",Table2[[#This Row],[Final Risk Score ]]&lt;=2,"Low")</f>
        <v>High</v>
      </c>
      <c r="R38"/>
      <c r="S38"/>
      <c r="T38"/>
      <c r="U38"/>
    </row>
    <row r="39" spans="1:23" x14ac:dyDescent="0.25">
      <c r="A39" s="9" t="s">
        <v>81</v>
      </c>
      <c r="B39" s="13" t="s">
        <v>59</v>
      </c>
      <c r="C39" s="9" t="s">
        <v>30</v>
      </c>
      <c r="D39" s="9" t="s">
        <v>31</v>
      </c>
      <c r="E39" s="9" t="s">
        <v>17</v>
      </c>
      <c r="F39" s="30">
        <v>11229</v>
      </c>
      <c r="G39" s="31">
        <v>6107459</v>
      </c>
      <c r="H39" s="22">
        <v>45982</v>
      </c>
      <c r="I39" s="22">
        <v>46215</v>
      </c>
      <c r="J39" s="9" t="str" cm="1">
        <f t="array" aca="1" ref="J39" ca="1">_xlfn.IFS(Table2[[#This Row],[End Date]]-Dashboard!$Z$4&gt;30, "Active",Table2[[#This Row],[End Date]]-Dashboard!$Z$4&gt;0,"Expiring Soon",Table2[[#This Row],[End Date]]-Dashboard!$Z$4&lt;=0,"Expired")</f>
        <v>Active</v>
      </c>
      <c r="K39" s="10">
        <f ca="1">IF(Table2[[#This Row],[End Date]]-Dashboard!$Z$4&lt;=0,"Expired",Table2[[#This Row],[End Date]]-Dashboard!$Z$4)</f>
        <v>68</v>
      </c>
      <c r="L39" s="13" t="s">
        <v>46</v>
      </c>
      <c r="M39" s="10">
        <v>6</v>
      </c>
      <c r="N39" s="9" t="str" cm="1">
        <f t="array" ref="N39">_xlfn.IFS(Table2[[#This Row],[Claims Count]]&gt;=3,"High",Table2[[#This Row],[Claims Count]]&gt;=1,"Medium",Table2[[#This Row],[Claims Count]]=0,"None")</f>
        <v>High</v>
      </c>
      <c r="O39" s="9" cm="1">
        <f t="array" ref="O39">(_xlfn.IFS(Table2[[#This Row],[Risk Level ]]="High",3,Table2[[#This Row],[Risk Level ]]="Medium",2,Table2[[#This Row],[Risk Level ]]="Low",1))+(_xlfn.IFS(Table2[[#This Row],[ Claims Frequency ]]="High",3,Table2[[#This Row],[ Claims Frequency ]]="Medium",1,Table2[[#This Row],[ Claims Frequency ]]="None",0))</f>
        <v>5</v>
      </c>
      <c r="P39" s="24" t="str" cm="1">
        <f t="array" ref="P39">_xlfn.IFS(Table2[[#This Row],[Final Risk Score ]]&gt;=5,"High",Table2[[#This Row],[Final Risk Score ]]&gt;=3,"Medium",Table2[[#This Row],[Final Risk Score ]]&lt;=2,"Low")</f>
        <v>High</v>
      </c>
      <c r="R39"/>
      <c r="S39"/>
      <c r="T39"/>
      <c r="U39"/>
    </row>
    <row r="40" spans="1:23" x14ac:dyDescent="0.25">
      <c r="A40" s="9" t="s">
        <v>82</v>
      </c>
      <c r="B40" s="13" t="s">
        <v>20</v>
      </c>
      <c r="C40" s="9" t="s">
        <v>21</v>
      </c>
      <c r="D40" s="9" t="s">
        <v>48</v>
      </c>
      <c r="E40" s="9" t="s">
        <v>27</v>
      </c>
      <c r="F40" s="30">
        <v>32204</v>
      </c>
      <c r="G40" s="31">
        <v>3250074</v>
      </c>
      <c r="H40" s="22">
        <v>45671</v>
      </c>
      <c r="I40" s="22">
        <v>46338</v>
      </c>
      <c r="J40" s="9" t="str" cm="1">
        <f t="array" aca="1" ref="J40" ca="1">_xlfn.IFS(Table2[[#This Row],[End Date]]-Dashboard!$Z$4&gt;30, "Active",Table2[[#This Row],[End Date]]-Dashboard!$Z$4&gt;0,"Expiring Soon",Table2[[#This Row],[End Date]]-Dashboard!$Z$4&lt;=0,"Expired")</f>
        <v>Active</v>
      </c>
      <c r="K40" s="10">
        <f ca="1">IF(Table2[[#This Row],[End Date]]-Dashboard!$Z$4&lt;=0,"Expired",Table2[[#This Row],[End Date]]-Dashboard!$Z$4)</f>
        <v>191</v>
      </c>
      <c r="L40" s="13" t="s">
        <v>46</v>
      </c>
      <c r="M40" s="10">
        <v>5</v>
      </c>
      <c r="N40" s="9" t="str" cm="1">
        <f t="array" ref="N40">_xlfn.IFS(Table2[[#This Row],[Claims Count]]&gt;=3,"High",Table2[[#This Row],[Claims Count]]&gt;=1,"Medium",Table2[[#This Row],[Claims Count]]=0,"None")</f>
        <v>High</v>
      </c>
      <c r="O40" s="9" cm="1">
        <f t="array" ref="O40">(_xlfn.IFS(Table2[[#This Row],[Risk Level ]]="High",3,Table2[[#This Row],[Risk Level ]]="Medium",2,Table2[[#This Row],[Risk Level ]]="Low",1))+(_xlfn.IFS(Table2[[#This Row],[ Claims Frequency ]]="High",3,Table2[[#This Row],[ Claims Frequency ]]="Medium",1,Table2[[#This Row],[ Claims Frequency ]]="None",0))</f>
        <v>5</v>
      </c>
      <c r="P40" s="24" t="str" cm="1">
        <f t="array" ref="P40">_xlfn.IFS(Table2[[#This Row],[Final Risk Score ]]&gt;=5,"High",Table2[[#This Row],[Final Risk Score ]]&gt;=3,"Medium",Table2[[#This Row],[Final Risk Score ]]&lt;=2,"Low")</f>
        <v>High</v>
      </c>
      <c r="R40"/>
      <c r="S40"/>
      <c r="T40"/>
      <c r="U40"/>
    </row>
    <row r="41" spans="1:23" x14ac:dyDescent="0.25">
      <c r="A41" s="9" t="s">
        <v>83</v>
      </c>
      <c r="B41" s="13" t="s">
        <v>36</v>
      </c>
      <c r="C41" s="9" t="s">
        <v>37</v>
      </c>
      <c r="D41" s="9" t="s">
        <v>57</v>
      </c>
      <c r="E41" s="9" t="s">
        <v>27</v>
      </c>
      <c r="F41" s="30">
        <v>17454</v>
      </c>
      <c r="G41" s="31">
        <v>2778249</v>
      </c>
      <c r="H41" s="22">
        <v>46019</v>
      </c>
      <c r="I41" s="22">
        <v>46284</v>
      </c>
      <c r="J41" s="9" t="str" cm="1">
        <f t="array" aca="1" ref="J41" ca="1">_xlfn.IFS(Table2[[#This Row],[End Date]]-Dashboard!$Z$4&gt;30, "Active",Table2[[#This Row],[End Date]]-Dashboard!$Z$4&gt;0,"Expiring Soon",Table2[[#This Row],[End Date]]-Dashboard!$Z$4&lt;=0,"Expired")</f>
        <v>Active</v>
      </c>
      <c r="K41" s="10">
        <f ca="1">IF(Table2[[#This Row],[End Date]]-Dashboard!$Z$4&lt;=0,"Expired",Table2[[#This Row],[End Date]]-Dashboard!$Z$4)</f>
        <v>137</v>
      </c>
      <c r="L41" s="13" t="s">
        <v>46</v>
      </c>
      <c r="M41" s="10">
        <v>6</v>
      </c>
      <c r="N41" s="9" t="str" cm="1">
        <f t="array" ref="N41">_xlfn.IFS(Table2[[#This Row],[Claims Count]]&gt;=3,"High",Table2[[#This Row],[Claims Count]]&gt;=1,"Medium",Table2[[#This Row],[Claims Count]]=0,"None")</f>
        <v>High</v>
      </c>
      <c r="O41" s="9" cm="1">
        <f t="array" ref="O41">(_xlfn.IFS(Table2[[#This Row],[Risk Level ]]="High",3,Table2[[#This Row],[Risk Level ]]="Medium",2,Table2[[#This Row],[Risk Level ]]="Low",1))+(_xlfn.IFS(Table2[[#This Row],[ Claims Frequency ]]="High",3,Table2[[#This Row],[ Claims Frequency ]]="Medium",1,Table2[[#This Row],[ Claims Frequency ]]="None",0))</f>
        <v>5</v>
      </c>
      <c r="P41" s="24" t="str" cm="1">
        <f t="array" ref="P41">_xlfn.IFS(Table2[[#This Row],[Final Risk Score ]]&gt;=5,"High",Table2[[#This Row],[Final Risk Score ]]&gt;=3,"Medium",Table2[[#This Row],[Final Risk Score ]]&lt;=2,"Low")</f>
        <v>High</v>
      </c>
      <c r="R41"/>
      <c r="S41"/>
      <c r="T41"/>
      <c r="U41"/>
    </row>
    <row r="42" spans="1:23" x14ac:dyDescent="0.25">
      <c r="A42" s="9" t="s">
        <v>84</v>
      </c>
      <c r="B42" s="13" t="s">
        <v>53</v>
      </c>
      <c r="C42" s="9" t="s">
        <v>15</v>
      </c>
      <c r="D42" s="9" t="s">
        <v>41</v>
      </c>
      <c r="E42" s="9" t="s">
        <v>39</v>
      </c>
      <c r="F42" s="30">
        <v>29182</v>
      </c>
      <c r="G42" s="31">
        <v>6439829</v>
      </c>
      <c r="H42" s="22">
        <v>45725</v>
      </c>
      <c r="I42" s="22">
        <v>46074</v>
      </c>
      <c r="J42" s="9" t="str" cm="1">
        <f t="array" aca="1" ref="J42" ca="1">_xlfn.IFS(Table2[[#This Row],[End Date]]-Dashboard!$Z$4&gt;30, "Active",Table2[[#This Row],[End Date]]-Dashboard!$Z$4&gt;0,"Expiring Soon",Table2[[#This Row],[End Date]]-Dashboard!$Z$4&lt;=0,"Expired")</f>
        <v>Expired</v>
      </c>
      <c r="K42" s="10" t="str">
        <f ca="1">IF(Table2[[#This Row],[End Date]]-Dashboard!$Z$4&lt;=0,"Expired",Table2[[#This Row],[End Date]]-Dashboard!$Z$4)</f>
        <v>Expired</v>
      </c>
      <c r="L42" s="13" t="s">
        <v>46</v>
      </c>
      <c r="M42" s="10">
        <v>1</v>
      </c>
      <c r="N42" s="9" t="str" cm="1">
        <f t="array" ref="N42">_xlfn.IFS(Table2[[#This Row],[Claims Count]]&gt;=3,"High",Table2[[#This Row],[Claims Count]]&gt;=1,"Medium",Table2[[#This Row],[Claims Count]]=0,"None")</f>
        <v>Medium</v>
      </c>
      <c r="O42" s="9" cm="1">
        <f t="array" ref="O42">(_xlfn.IFS(Table2[[#This Row],[Risk Level ]]="High",3,Table2[[#This Row],[Risk Level ]]="Medium",2,Table2[[#This Row],[Risk Level ]]="Low",1))+(_xlfn.IFS(Table2[[#This Row],[ Claims Frequency ]]="High",3,Table2[[#This Row],[ Claims Frequency ]]="Medium",1,Table2[[#This Row],[ Claims Frequency ]]="None",0))</f>
        <v>3</v>
      </c>
      <c r="P42" s="24" t="str" cm="1">
        <f t="array" ref="P42">_xlfn.IFS(Table2[[#This Row],[Final Risk Score ]]&gt;=5,"High",Table2[[#This Row],[Final Risk Score ]]&gt;=3,"Medium",Table2[[#This Row],[Final Risk Score ]]&lt;=2,"Low")</f>
        <v>Medium</v>
      </c>
      <c r="R42"/>
      <c r="S42"/>
      <c r="T42"/>
      <c r="U42"/>
    </row>
    <row r="43" spans="1:23" x14ac:dyDescent="0.25">
      <c r="A43" s="9" t="s">
        <v>86</v>
      </c>
      <c r="B43" s="13" t="s">
        <v>101</v>
      </c>
      <c r="C43" s="9" t="s">
        <v>21</v>
      </c>
      <c r="D43" s="9" t="s">
        <v>31</v>
      </c>
      <c r="E43" s="9" t="s">
        <v>17</v>
      </c>
      <c r="F43" s="30">
        <v>30711</v>
      </c>
      <c r="G43" s="31">
        <v>4398399</v>
      </c>
      <c r="H43" s="22">
        <v>45755</v>
      </c>
      <c r="I43" s="22">
        <v>46378</v>
      </c>
      <c r="J43" s="9" t="str" cm="1">
        <f t="array" aca="1" ref="J43" ca="1">_xlfn.IFS(Table2[[#This Row],[End Date]]-Dashboard!$Z$4&gt;30, "Active",Table2[[#This Row],[End Date]]-Dashboard!$Z$4&gt;0,"Expiring Soon",Table2[[#This Row],[End Date]]-Dashboard!$Z$4&lt;=0,"Expired")</f>
        <v>Active</v>
      </c>
      <c r="K43" s="10">
        <f ca="1">IF(Table2[[#This Row],[End Date]]-Dashboard!$Z$4&lt;=0,"Expired",Table2[[#This Row],[End Date]]-Dashboard!$Z$4)</f>
        <v>231</v>
      </c>
      <c r="L43" s="13" t="s">
        <v>18</v>
      </c>
      <c r="M43" s="10">
        <v>0</v>
      </c>
      <c r="N43" s="9" t="str" cm="1">
        <f t="array" ref="N43">_xlfn.IFS(Table2[[#This Row],[Claims Count]]&gt;=3,"High",Table2[[#This Row],[Claims Count]]&gt;=1,"Medium",Table2[[#This Row],[Claims Count]]=0,"None")</f>
        <v>None</v>
      </c>
      <c r="O43" s="9" cm="1">
        <f t="array" ref="O43">(_xlfn.IFS(Table2[[#This Row],[Risk Level ]]="High",3,Table2[[#This Row],[Risk Level ]]="Medium",2,Table2[[#This Row],[Risk Level ]]="Low",1))+(_xlfn.IFS(Table2[[#This Row],[ Claims Frequency ]]="High",3,Table2[[#This Row],[ Claims Frequency ]]="Medium",1,Table2[[#This Row],[ Claims Frequency ]]="None",0))</f>
        <v>3</v>
      </c>
      <c r="P43" s="24" t="str" cm="1">
        <f t="array" ref="P43">_xlfn.IFS(Table2[[#This Row],[Final Risk Score ]]&gt;=5,"High",Table2[[#This Row],[Final Risk Score ]]&gt;=3,"Medium",Table2[[#This Row],[Final Risk Score ]]&lt;=2,"Low")</f>
        <v>Medium</v>
      </c>
      <c r="R43"/>
      <c r="S43"/>
      <c r="T43"/>
      <c r="U43"/>
    </row>
    <row r="44" spans="1:23" x14ac:dyDescent="0.25">
      <c r="A44" s="9" t="s">
        <v>87</v>
      </c>
      <c r="B44" s="13" t="s">
        <v>20</v>
      </c>
      <c r="C44" s="9" t="s">
        <v>15</v>
      </c>
      <c r="D44" s="9" t="s">
        <v>31</v>
      </c>
      <c r="E44" s="9" t="s">
        <v>27</v>
      </c>
      <c r="F44" s="30">
        <v>12475</v>
      </c>
      <c r="G44" s="31">
        <v>1204510</v>
      </c>
      <c r="H44" s="22">
        <v>45762</v>
      </c>
      <c r="I44" s="22">
        <v>46303</v>
      </c>
      <c r="J44" s="9" t="str" cm="1">
        <f t="array" aca="1" ref="J44" ca="1">_xlfn.IFS(Table2[[#This Row],[End Date]]-Dashboard!$Z$4&gt;30, "Active",Table2[[#This Row],[End Date]]-Dashboard!$Z$4&gt;0,"Expiring Soon",Table2[[#This Row],[End Date]]-Dashboard!$Z$4&lt;=0,"Expired")</f>
        <v>Active</v>
      </c>
      <c r="K44" s="10">
        <f ca="1">IF(Table2[[#This Row],[End Date]]-Dashboard!$Z$4&lt;=0,"Expired",Table2[[#This Row],[End Date]]-Dashboard!$Z$4)</f>
        <v>156</v>
      </c>
      <c r="L44" s="13" t="s">
        <v>46</v>
      </c>
      <c r="M44" s="10">
        <v>2</v>
      </c>
      <c r="N44" s="9" t="str" cm="1">
        <f t="array" ref="N44">_xlfn.IFS(Table2[[#This Row],[Claims Count]]&gt;=3,"High",Table2[[#This Row],[Claims Count]]&gt;=1,"Medium",Table2[[#This Row],[Claims Count]]=0,"None")</f>
        <v>Medium</v>
      </c>
      <c r="O44" s="9" cm="1">
        <f t="array" ref="O44">(_xlfn.IFS(Table2[[#This Row],[Risk Level ]]="High",3,Table2[[#This Row],[Risk Level ]]="Medium",2,Table2[[#This Row],[Risk Level ]]="Low",1))+(_xlfn.IFS(Table2[[#This Row],[ Claims Frequency ]]="High",3,Table2[[#This Row],[ Claims Frequency ]]="Medium",1,Table2[[#This Row],[ Claims Frequency ]]="None",0))</f>
        <v>3</v>
      </c>
      <c r="P44" s="24" t="str" cm="1">
        <f t="array" ref="P44">_xlfn.IFS(Table2[[#This Row],[Final Risk Score ]]&gt;=5,"High",Table2[[#This Row],[Final Risk Score ]]&gt;=3,"Medium",Table2[[#This Row],[Final Risk Score ]]&lt;=2,"Low")</f>
        <v>Medium</v>
      </c>
      <c r="R44"/>
      <c r="S44"/>
      <c r="T44"/>
      <c r="U44"/>
    </row>
    <row r="45" spans="1:23" x14ac:dyDescent="0.25">
      <c r="A45" s="9" t="s">
        <v>88</v>
      </c>
      <c r="B45" s="13" t="s">
        <v>85</v>
      </c>
      <c r="C45" s="9" t="s">
        <v>15</v>
      </c>
      <c r="D45" s="9" t="s">
        <v>57</v>
      </c>
      <c r="E45" s="9" t="s">
        <v>49</v>
      </c>
      <c r="F45" s="30">
        <v>14115</v>
      </c>
      <c r="G45" s="31">
        <v>8778308</v>
      </c>
      <c r="H45" s="22">
        <v>45752</v>
      </c>
      <c r="I45" s="22">
        <v>46077</v>
      </c>
      <c r="J45" s="9" t="str" cm="1">
        <f t="array" aca="1" ref="J45" ca="1">_xlfn.IFS(Table2[[#This Row],[End Date]]-Dashboard!$Z$4&gt;30, "Active",Table2[[#This Row],[End Date]]-Dashboard!$Z$4&gt;0,"Expiring Soon",Table2[[#This Row],[End Date]]-Dashboard!$Z$4&lt;=0,"Expired")</f>
        <v>Expired</v>
      </c>
      <c r="K45" s="10" t="str">
        <f ca="1">IF(Table2[[#This Row],[End Date]]-Dashboard!$Z$4&lt;=0,"Expired",Table2[[#This Row],[End Date]]-Dashboard!$Z$4)</f>
        <v>Expired</v>
      </c>
      <c r="L45" s="13" t="s">
        <v>46</v>
      </c>
      <c r="M45" s="10">
        <v>0</v>
      </c>
      <c r="N45" s="9" t="str" cm="1">
        <f t="array" ref="N45">_xlfn.IFS(Table2[[#This Row],[Claims Count]]&gt;=3,"High",Table2[[#This Row],[Claims Count]]&gt;=1,"Medium",Table2[[#This Row],[Claims Count]]=0,"None")</f>
        <v>None</v>
      </c>
      <c r="O45" s="9" cm="1">
        <f t="array" ref="O45">(_xlfn.IFS(Table2[[#This Row],[Risk Level ]]="High",3,Table2[[#This Row],[Risk Level ]]="Medium",2,Table2[[#This Row],[Risk Level ]]="Low",1))+(_xlfn.IFS(Table2[[#This Row],[ Claims Frequency ]]="High",3,Table2[[#This Row],[ Claims Frequency ]]="Medium",1,Table2[[#This Row],[ Claims Frequency ]]="None",0))</f>
        <v>2</v>
      </c>
      <c r="P45" s="24" t="str" cm="1">
        <f t="array" ref="P45">_xlfn.IFS(Table2[[#This Row],[Final Risk Score ]]&gt;=5,"High",Table2[[#This Row],[Final Risk Score ]]&gt;=3,"Medium",Table2[[#This Row],[Final Risk Score ]]&lt;=2,"Low")</f>
        <v>Low</v>
      </c>
      <c r="R45"/>
      <c r="S45"/>
      <c r="T45"/>
      <c r="U45"/>
    </row>
    <row r="46" spans="1:23" x14ac:dyDescent="0.25">
      <c r="A46" s="9" t="s">
        <v>89</v>
      </c>
      <c r="B46" s="13" t="s">
        <v>36</v>
      </c>
      <c r="C46" s="9" t="s">
        <v>37</v>
      </c>
      <c r="D46" s="9" t="s">
        <v>38</v>
      </c>
      <c r="E46" s="9" t="s">
        <v>39</v>
      </c>
      <c r="F46" s="30">
        <v>22454</v>
      </c>
      <c r="G46" s="31">
        <v>3049620</v>
      </c>
      <c r="H46" s="22">
        <v>45856</v>
      </c>
      <c r="I46" s="22">
        <v>46231</v>
      </c>
      <c r="J46" s="9" t="str" cm="1">
        <f t="array" aca="1" ref="J46" ca="1">_xlfn.IFS(Table2[[#This Row],[End Date]]-Dashboard!$Z$4&gt;30, "Active",Table2[[#This Row],[End Date]]-Dashboard!$Z$4&gt;0,"Expiring Soon",Table2[[#This Row],[End Date]]-Dashboard!$Z$4&lt;=0,"Expired")</f>
        <v>Active</v>
      </c>
      <c r="K46" s="10">
        <f ca="1">IF(Table2[[#This Row],[End Date]]-Dashboard!$Z$4&lt;=0,"Expired",Table2[[#This Row],[End Date]]-Dashboard!$Z$4)</f>
        <v>84</v>
      </c>
      <c r="L46" s="13" t="s">
        <v>18</v>
      </c>
      <c r="M46" s="10">
        <v>0</v>
      </c>
      <c r="N46" s="9" t="str" cm="1">
        <f t="array" ref="N46">_xlfn.IFS(Table2[[#This Row],[Claims Count]]&gt;=3,"High",Table2[[#This Row],[Claims Count]]&gt;=1,"Medium",Table2[[#This Row],[Claims Count]]=0,"None")</f>
        <v>None</v>
      </c>
      <c r="O46" s="9" cm="1">
        <f t="array" ref="O46">(_xlfn.IFS(Table2[[#This Row],[Risk Level ]]="High",3,Table2[[#This Row],[Risk Level ]]="Medium",2,Table2[[#This Row],[Risk Level ]]="Low",1))+(_xlfn.IFS(Table2[[#This Row],[ Claims Frequency ]]="High",3,Table2[[#This Row],[ Claims Frequency ]]="Medium",1,Table2[[#This Row],[ Claims Frequency ]]="None",0))</f>
        <v>3</v>
      </c>
      <c r="P46" s="24" t="str" cm="1">
        <f t="array" ref="P46">_xlfn.IFS(Table2[[#This Row],[Final Risk Score ]]&gt;=5,"High",Table2[[#This Row],[Final Risk Score ]]&gt;=3,"Medium",Table2[[#This Row],[Final Risk Score ]]&lt;=2,"Low")</f>
        <v>Medium</v>
      </c>
      <c r="R46"/>
      <c r="S46"/>
      <c r="T46"/>
      <c r="U46"/>
      <c r="W46" s="2"/>
    </row>
    <row r="47" spans="1:23" x14ac:dyDescent="0.25">
      <c r="A47" s="9" t="s">
        <v>90</v>
      </c>
      <c r="B47" s="13" t="s">
        <v>45</v>
      </c>
      <c r="C47" s="9" t="s">
        <v>30</v>
      </c>
      <c r="D47" s="9" t="s">
        <v>54</v>
      </c>
      <c r="E47" s="9" t="s">
        <v>27</v>
      </c>
      <c r="F47" s="30">
        <v>31123</v>
      </c>
      <c r="G47" s="31">
        <v>9198700</v>
      </c>
      <c r="H47" s="22">
        <v>45705</v>
      </c>
      <c r="I47" s="22">
        <v>46373</v>
      </c>
      <c r="J47" s="9" t="str" cm="1">
        <f t="array" aca="1" ref="J47" ca="1">_xlfn.IFS(Table2[[#This Row],[End Date]]-Dashboard!$Z$4&gt;30, "Active",Table2[[#This Row],[End Date]]-Dashboard!$Z$4&gt;0,"Expiring Soon",Table2[[#This Row],[End Date]]-Dashboard!$Z$4&lt;=0,"Expired")</f>
        <v>Active</v>
      </c>
      <c r="K47" s="10">
        <f ca="1">IF(Table2[[#This Row],[End Date]]-Dashboard!$Z$4&lt;=0,"Expired",Table2[[#This Row],[End Date]]-Dashboard!$Z$4)</f>
        <v>226</v>
      </c>
      <c r="L47" s="13" t="s">
        <v>11</v>
      </c>
      <c r="M47" s="10">
        <v>0</v>
      </c>
      <c r="N47" s="9" t="str" cm="1">
        <f t="array" ref="N47">_xlfn.IFS(Table2[[#This Row],[Claims Count]]&gt;=3,"High",Table2[[#This Row],[Claims Count]]&gt;=1,"Medium",Table2[[#This Row],[Claims Count]]=0,"None")</f>
        <v>None</v>
      </c>
      <c r="O47" s="9" cm="1">
        <f t="array" ref="O47">(_xlfn.IFS(Table2[[#This Row],[Risk Level ]]="High",3,Table2[[#This Row],[Risk Level ]]="Medium",2,Table2[[#This Row],[Risk Level ]]="Low",1))+(_xlfn.IFS(Table2[[#This Row],[ Claims Frequency ]]="High",3,Table2[[#This Row],[ Claims Frequency ]]="Medium",1,Table2[[#This Row],[ Claims Frequency ]]="None",0))</f>
        <v>1</v>
      </c>
      <c r="P47" s="24" t="str" cm="1">
        <f t="array" ref="P47">_xlfn.IFS(Table2[[#This Row],[Final Risk Score ]]&gt;=5,"High",Table2[[#This Row],[Final Risk Score ]]&gt;=3,"Medium",Table2[[#This Row],[Final Risk Score ]]&lt;=2,"Low")</f>
        <v>Low</v>
      </c>
      <c r="R47"/>
      <c r="S47"/>
      <c r="T47"/>
      <c r="U47"/>
    </row>
    <row r="48" spans="1:23" x14ac:dyDescent="0.25">
      <c r="A48" s="9" t="s">
        <v>91</v>
      </c>
      <c r="B48" s="13" t="s">
        <v>63</v>
      </c>
      <c r="C48" s="9" t="s">
        <v>37</v>
      </c>
      <c r="D48" s="9" t="s">
        <v>41</v>
      </c>
      <c r="E48" s="9" t="s">
        <v>39</v>
      </c>
      <c r="F48" s="30">
        <v>32368</v>
      </c>
      <c r="G48" s="31">
        <v>6132479</v>
      </c>
      <c r="H48" s="22">
        <v>45727</v>
      </c>
      <c r="I48" s="22">
        <v>46114</v>
      </c>
      <c r="J48" s="9" t="str" cm="1">
        <f t="array" aca="1" ref="J48" ca="1">_xlfn.IFS(Table2[[#This Row],[End Date]]-Dashboard!$Z$4&gt;30, "Active",Table2[[#This Row],[End Date]]-Dashboard!$Z$4&gt;0,"Expiring Soon",Table2[[#This Row],[End Date]]-Dashboard!$Z$4&lt;=0,"Expired")</f>
        <v>Expired</v>
      </c>
      <c r="K48" s="10" t="str">
        <f ca="1">IF(Table2[[#This Row],[End Date]]-Dashboard!$Z$4&lt;=0,"Expired",Table2[[#This Row],[End Date]]-Dashboard!$Z$4)</f>
        <v>Expired</v>
      </c>
      <c r="L48" s="13" t="s">
        <v>11</v>
      </c>
      <c r="M48" s="10">
        <v>6</v>
      </c>
      <c r="N48" s="9" t="str" cm="1">
        <f t="array" ref="N48">_xlfn.IFS(Table2[[#This Row],[Claims Count]]&gt;=3,"High",Table2[[#This Row],[Claims Count]]&gt;=1,"Medium",Table2[[#This Row],[Claims Count]]=0,"None")</f>
        <v>High</v>
      </c>
      <c r="O48" s="9" cm="1">
        <f t="array" ref="O48">(_xlfn.IFS(Table2[[#This Row],[Risk Level ]]="High",3,Table2[[#This Row],[Risk Level ]]="Medium",2,Table2[[#This Row],[Risk Level ]]="Low",1))+(_xlfn.IFS(Table2[[#This Row],[ Claims Frequency ]]="High",3,Table2[[#This Row],[ Claims Frequency ]]="Medium",1,Table2[[#This Row],[ Claims Frequency ]]="None",0))</f>
        <v>4</v>
      </c>
      <c r="P48" s="24" t="str" cm="1">
        <f t="array" ref="P48">_xlfn.IFS(Table2[[#This Row],[Final Risk Score ]]&gt;=5,"High",Table2[[#This Row],[Final Risk Score ]]&gt;=3,"Medium",Table2[[#This Row],[Final Risk Score ]]&lt;=2,"Low")</f>
        <v>Medium</v>
      </c>
      <c r="R48"/>
      <c r="S48"/>
      <c r="T48"/>
      <c r="U48"/>
    </row>
    <row r="49" spans="1:21" x14ac:dyDescent="0.25">
      <c r="A49" s="9" t="s">
        <v>92</v>
      </c>
      <c r="B49" s="13" t="s">
        <v>43</v>
      </c>
      <c r="C49" s="9" t="s">
        <v>30</v>
      </c>
      <c r="D49" s="9" t="s">
        <v>38</v>
      </c>
      <c r="E49" s="9" t="s">
        <v>27</v>
      </c>
      <c r="F49" s="30">
        <v>35732</v>
      </c>
      <c r="G49" s="31">
        <v>1427213</v>
      </c>
      <c r="H49" s="22">
        <v>45710</v>
      </c>
      <c r="I49" s="22">
        <v>46266</v>
      </c>
      <c r="J49" s="9" t="str" cm="1">
        <f t="array" aca="1" ref="J49" ca="1">_xlfn.IFS(Table2[[#This Row],[End Date]]-Dashboard!$Z$4&gt;30, "Active",Table2[[#This Row],[End Date]]-Dashboard!$Z$4&gt;0,"Expiring Soon",Table2[[#This Row],[End Date]]-Dashboard!$Z$4&lt;=0,"Expired")</f>
        <v>Active</v>
      </c>
      <c r="K49" s="10">
        <f ca="1">IF(Table2[[#This Row],[End Date]]-Dashboard!$Z$4&lt;=0,"Expired",Table2[[#This Row],[End Date]]-Dashboard!$Z$4)</f>
        <v>119</v>
      </c>
      <c r="L49" s="13" t="s">
        <v>11</v>
      </c>
      <c r="M49" s="10">
        <v>3</v>
      </c>
      <c r="N49" s="9" t="str" cm="1">
        <f t="array" ref="N49">_xlfn.IFS(Table2[[#This Row],[Claims Count]]&gt;=3,"High",Table2[[#This Row],[Claims Count]]&gt;=1,"Medium",Table2[[#This Row],[Claims Count]]=0,"None")</f>
        <v>High</v>
      </c>
      <c r="O49" s="9" cm="1">
        <f t="array" ref="O49">(_xlfn.IFS(Table2[[#This Row],[Risk Level ]]="High",3,Table2[[#This Row],[Risk Level ]]="Medium",2,Table2[[#This Row],[Risk Level ]]="Low",1))+(_xlfn.IFS(Table2[[#This Row],[ Claims Frequency ]]="High",3,Table2[[#This Row],[ Claims Frequency ]]="Medium",1,Table2[[#This Row],[ Claims Frequency ]]="None",0))</f>
        <v>4</v>
      </c>
      <c r="P49" s="24" t="str" cm="1">
        <f t="array" ref="P49">_xlfn.IFS(Table2[[#This Row],[Final Risk Score ]]&gt;=5,"High",Table2[[#This Row],[Final Risk Score ]]&gt;=3,"Medium",Table2[[#This Row],[Final Risk Score ]]&lt;=2,"Low")</f>
        <v>Medium</v>
      </c>
      <c r="R49"/>
      <c r="S49"/>
      <c r="T49"/>
      <c r="U49"/>
    </row>
    <row r="50" spans="1:21" x14ac:dyDescent="0.25">
      <c r="A50" s="9" t="s">
        <v>93</v>
      </c>
      <c r="B50" s="13" t="s">
        <v>103</v>
      </c>
      <c r="C50" s="9" t="s">
        <v>21</v>
      </c>
      <c r="D50" s="9" t="s">
        <v>31</v>
      </c>
      <c r="E50" s="9" t="s">
        <v>49</v>
      </c>
      <c r="F50" s="30">
        <v>8163</v>
      </c>
      <c r="G50" s="31">
        <v>2341709</v>
      </c>
      <c r="H50" s="22">
        <v>45666</v>
      </c>
      <c r="I50" s="22">
        <v>46240</v>
      </c>
      <c r="J50" s="9" t="str" cm="1">
        <f t="array" aca="1" ref="J50" ca="1">_xlfn.IFS(Table2[[#This Row],[End Date]]-Dashboard!$Z$4&gt;30, "Active",Table2[[#This Row],[End Date]]-Dashboard!$Z$4&gt;0,"Expiring Soon",Table2[[#This Row],[End Date]]-Dashboard!$Z$4&lt;=0,"Expired")</f>
        <v>Active</v>
      </c>
      <c r="K50" s="10">
        <f ca="1">IF(Table2[[#This Row],[End Date]]-Dashboard!$Z$4&lt;=0,"Expired",Table2[[#This Row],[End Date]]-Dashboard!$Z$4)</f>
        <v>93</v>
      </c>
      <c r="L50" s="13" t="s">
        <v>11</v>
      </c>
      <c r="M50" s="10">
        <v>6</v>
      </c>
      <c r="N50" s="9" t="str" cm="1">
        <f t="array" ref="N50">_xlfn.IFS(Table2[[#This Row],[Claims Count]]&gt;=3,"High",Table2[[#This Row],[Claims Count]]&gt;=1,"Medium",Table2[[#This Row],[Claims Count]]=0,"None")</f>
        <v>High</v>
      </c>
      <c r="O50" s="9" cm="1">
        <f t="array" ref="O50">(_xlfn.IFS(Table2[[#This Row],[Risk Level ]]="High",3,Table2[[#This Row],[Risk Level ]]="Medium",2,Table2[[#This Row],[Risk Level ]]="Low",1))+(_xlfn.IFS(Table2[[#This Row],[ Claims Frequency ]]="High",3,Table2[[#This Row],[ Claims Frequency ]]="Medium",1,Table2[[#This Row],[ Claims Frequency ]]="None",0))</f>
        <v>4</v>
      </c>
      <c r="P50" s="24" t="str" cm="1">
        <f t="array" ref="P50">_xlfn.IFS(Table2[[#This Row],[Final Risk Score ]]&gt;=5,"High",Table2[[#This Row],[Final Risk Score ]]&gt;=3,"Medium",Table2[[#This Row],[Final Risk Score ]]&lt;=2,"Low")</f>
        <v>Medium</v>
      </c>
      <c r="R50"/>
      <c r="S50"/>
      <c r="T50"/>
      <c r="U50"/>
    </row>
    <row r="51" spans="1:21" x14ac:dyDescent="0.25">
      <c r="A51" s="9" t="s">
        <v>94</v>
      </c>
      <c r="B51" s="13" t="s">
        <v>51</v>
      </c>
      <c r="C51" s="9" t="s">
        <v>15</v>
      </c>
      <c r="D51" s="9" t="s">
        <v>16</v>
      </c>
      <c r="E51" s="9" t="s">
        <v>49</v>
      </c>
      <c r="F51" s="30">
        <v>24971</v>
      </c>
      <c r="G51" s="31">
        <v>8548731</v>
      </c>
      <c r="H51" s="22">
        <v>45802</v>
      </c>
      <c r="I51" s="22">
        <v>46081</v>
      </c>
      <c r="J51" s="9" t="str" cm="1">
        <f t="array" aca="1" ref="J51" ca="1">_xlfn.IFS(Table2[[#This Row],[End Date]]-Dashboard!$Z$4&gt;30, "Active",Table2[[#This Row],[End Date]]-Dashboard!$Z$4&gt;0,"Expiring Soon",Table2[[#This Row],[End Date]]-Dashboard!$Z$4&lt;=0,"Expired")</f>
        <v>Expired</v>
      </c>
      <c r="K51" s="10" t="str">
        <f ca="1">IF(Table2[[#This Row],[End Date]]-Dashboard!$Z$4&lt;=0,"Expired",Table2[[#This Row],[End Date]]-Dashboard!$Z$4)</f>
        <v>Expired</v>
      </c>
      <c r="L51" s="13" t="s">
        <v>11</v>
      </c>
      <c r="M51" s="10">
        <v>6</v>
      </c>
      <c r="N51" s="9" t="str" cm="1">
        <f t="array" ref="N51">_xlfn.IFS(Table2[[#This Row],[Claims Count]]&gt;=3,"High",Table2[[#This Row],[Claims Count]]&gt;=1,"Medium",Table2[[#This Row],[Claims Count]]=0,"None")</f>
        <v>High</v>
      </c>
      <c r="O51" s="9" cm="1">
        <f t="array" ref="O51">(_xlfn.IFS(Table2[[#This Row],[Risk Level ]]="High",3,Table2[[#This Row],[Risk Level ]]="Medium",2,Table2[[#This Row],[Risk Level ]]="Low",1))+(_xlfn.IFS(Table2[[#This Row],[ Claims Frequency ]]="High",3,Table2[[#This Row],[ Claims Frequency ]]="Medium",1,Table2[[#This Row],[ Claims Frequency ]]="None",0))</f>
        <v>4</v>
      </c>
      <c r="P51" s="24" t="str" cm="1">
        <f t="array" ref="P51">_xlfn.IFS(Table2[[#This Row],[Final Risk Score ]]&gt;=5,"High",Table2[[#This Row],[Final Risk Score ]]&gt;=3,"Medium",Table2[[#This Row],[Final Risk Score ]]&lt;=2,"Low")</f>
        <v>Medium</v>
      </c>
      <c r="R51"/>
      <c r="S51"/>
      <c r="T51"/>
      <c r="U51"/>
    </row>
    <row r="52" spans="1:21" x14ac:dyDescent="0.25">
      <c r="A52" s="9" t="s">
        <v>95</v>
      </c>
      <c r="B52" s="13" t="s">
        <v>73</v>
      </c>
      <c r="C52" s="9" t="s">
        <v>21</v>
      </c>
      <c r="D52" s="9" t="s">
        <v>31</v>
      </c>
      <c r="E52" s="9" t="s">
        <v>27</v>
      </c>
      <c r="F52" s="30">
        <v>23681</v>
      </c>
      <c r="G52" s="31">
        <v>1699979</v>
      </c>
      <c r="H52" s="22">
        <v>45676</v>
      </c>
      <c r="I52" s="22">
        <v>46039</v>
      </c>
      <c r="J52" s="9" t="str" cm="1">
        <f t="array" aca="1" ref="J52" ca="1">_xlfn.IFS(Table2[[#This Row],[End Date]]-Dashboard!$Z$4&gt;30, "Active",Table2[[#This Row],[End Date]]-Dashboard!$Z$4&gt;0,"Expiring Soon",Table2[[#This Row],[End Date]]-Dashboard!$Z$4&lt;=0,"Expired")</f>
        <v>Expired</v>
      </c>
      <c r="K52" s="10" t="str">
        <f ca="1">IF(Table2[[#This Row],[End Date]]-Dashboard!$Z$4&lt;=0,"Expired",Table2[[#This Row],[End Date]]-Dashboard!$Z$4)</f>
        <v>Expired</v>
      </c>
      <c r="L52" s="13" t="s">
        <v>46</v>
      </c>
      <c r="M52" s="10">
        <v>2</v>
      </c>
      <c r="N52" s="9" t="str" cm="1">
        <f t="array" ref="N52">_xlfn.IFS(Table2[[#This Row],[Claims Count]]&gt;=3,"High",Table2[[#This Row],[Claims Count]]&gt;=1,"Medium",Table2[[#This Row],[Claims Count]]=0,"None")</f>
        <v>Medium</v>
      </c>
      <c r="O52" s="9" cm="1">
        <f t="array" ref="O52">(_xlfn.IFS(Table2[[#This Row],[Risk Level ]]="High",3,Table2[[#This Row],[Risk Level ]]="Medium",2,Table2[[#This Row],[Risk Level ]]="Low",1))+(_xlfn.IFS(Table2[[#This Row],[ Claims Frequency ]]="High",3,Table2[[#This Row],[ Claims Frequency ]]="Medium",1,Table2[[#This Row],[ Claims Frequency ]]="None",0))</f>
        <v>3</v>
      </c>
      <c r="P52" s="24" t="str" cm="1">
        <f t="array" ref="P52">_xlfn.IFS(Table2[[#This Row],[Final Risk Score ]]&gt;=5,"High",Table2[[#This Row],[Final Risk Score ]]&gt;=3,"Medium",Table2[[#This Row],[Final Risk Score ]]&lt;=2,"Low")</f>
        <v>Medium</v>
      </c>
      <c r="R52"/>
      <c r="S52"/>
      <c r="T52"/>
      <c r="U52"/>
    </row>
    <row r="53" spans="1:21" x14ac:dyDescent="0.25">
      <c r="A53" s="9" t="s">
        <v>96</v>
      </c>
      <c r="B53" s="13" t="s">
        <v>56</v>
      </c>
      <c r="C53" s="9" t="s">
        <v>30</v>
      </c>
      <c r="D53" s="9" t="s">
        <v>22</v>
      </c>
      <c r="E53" s="9" t="s">
        <v>23</v>
      </c>
      <c r="F53" s="30">
        <v>7549</v>
      </c>
      <c r="G53" s="31">
        <v>8417549</v>
      </c>
      <c r="H53" s="22">
        <v>45853</v>
      </c>
      <c r="I53" s="22">
        <v>46361</v>
      </c>
      <c r="J53" s="9" t="str" cm="1">
        <f t="array" aca="1" ref="J53" ca="1">_xlfn.IFS(Table2[[#This Row],[End Date]]-Dashboard!$Z$4&gt;30, "Active",Table2[[#This Row],[End Date]]-Dashboard!$Z$4&gt;0,"Expiring Soon",Table2[[#This Row],[End Date]]-Dashboard!$Z$4&lt;=0,"Expired")</f>
        <v>Active</v>
      </c>
      <c r="K53" s="10">
        <f ca="1">IF(Table2[[#This Row],[End Date]]-Dashboard!$Z$4&lt;=0,"Expired",Table2[[#This Row],[End Date]]-Dashboard!$Z$4)</f>
        <v>214</v>
      </c>
      <c r="L53" s="13" t="s">
        <v>46</v>
      </c>
      <c r="M53" s="10">
        <v>1</v>
      </c>
      <c r="N53" s="9" t="str" cm="1">
        <f t="array" ref="N53">_xlfn.IFS(Table2[[#This Row],[Claims Count]]&gt;=3,"High",Table2[[#This Row],[Claims Count]]&gt;=1,"Medium",Table2[[#This Row],[Claims Count]]=0,"None")</f>
        <v>Medium</v>
      </c>
      <c r="O53" s="9" cm="1">
        <f t="array" ref="O53">(_xlfn.IFS(Table2[[#This Row],[Risk Level ]]="High",3,Table2[[#This Row],[Risk Level ]]="Medium",2,Table2[[#This Row],[Risk Level ]]="Low",1))+(_xlfn.IFS(Table2[[#This Row],[ Claims Frequency ]]="High",3,Table2[[#This Row],[ Claims Frequency ]]="Medium",1,Table2[[#This Row],[ Claims Frequency ]]="None",0))</f>
        <v>3</v>
      </c>
      <c r="P53" s="24" t="str" cm="1">
        <f t="array" ref="P53">_xlfn.IFS(Table2[[#This Row],[Final Risk Score ]]&gt;=5,"High",Table2[[#This Row],[Final Risk Score ]]&gt;=3,"Medium",Table2[[#This Row],[Final Risk Score ]]&lt;=2,"Low")</f>
        <v>Medium</v>
      </c>
      <c r="R53"/>
      <c r="S53"/>
      <c r="T53"/>
      <c r="U53"/>
    </row>
    <row r="54" spans="1:21" x14ac:dyDescent="0.25">
      <c r="A54" s="9" t="s">
        <v>97</v>
      </c>
      <c r="B54" s="13" t="s">
        <v>20</v>
      </c>
      <c r="C54" s="9" t="s">
        <v>15</v>
      </c>
      <c r="D54" s="9" t="s">
        <v>38</v>
      </c>
      <c r="E54" s="9" t="s">
        <v>27</v>
      </c>
      <c r="F54" s="30">
        <v>11907</v>
      </c>
      <c r="G54" s="31">
        <v>7736624</v>
      </c>
      <c r="H54" s="22">
        <v>45870</v>
      </c>
      <c r="I54" s="22">
        <v>46150</v>
      </c>
      <c r="J54" s="9" t="str" cm="1">
        <f t="array" aca="1" ref="J54" ca="1">_xlfn.IFS(Table2[[#This Row],[End Date]]-Dashboard!$Z$4&gt;30, "Active",Table2[[#This Row],[End Date]]-Dashboard!$Z$4&gt;0,"Expiring Soon",Table2[[#This Row],[End Date]]-Dashboard!$Z$4&lt;=0,"Expired")</f>
        <v>Expiring Soon</v>
      </c>
      <c r="K54" s="10">
        <f ca="1">IF(Table2[[#This Row],[End Date]]-Dashboard!$Z$4&lt;=0,"Expired",Table2[[#This Row],[End Date]]-Dashboard!$Z$4)</f>
        <v>3</v>
      </c>
      <c r="L54" s="13" t="s">
        <v>46</v>
      </c>
      <c r="M54" s="10">
        <v>2</v>
      </c>
      <c r="N54" s="9" t="str" cm="1">
        <f t="array" ref="N54">_xlfn.IFS(Table2[[#This Row],[Claims Count]]&gt;=3,"High",Table2[[#This Row],[Claims Count]]&gt;=1,"Medium",Table2[[#This Row],[Claims Count]]=0,"None")</f>
        <v>Medium</v>
      </c>
      <c r="O54" s="9" cm="1">
        <f t="array" ref="O54">(_xlfn.IFS(Table2[[#This Row],[Risk Level ]]="High",3,Table2[[#This Row],[Risk Level ]]="Medium",2,Table2[[#This Row],[Risk Level ]]="Low",1))+(_xlfn.IFS(Table2[[#This Row],[ Claims Frequency ]]="High",3,Table2[[#This Row],[ Claims Frequency ]]="Medium",1,Table2[[#This Row],[ Claims Frequency ]]="None",0))</f>
        <v>3</v>
      </c>
      <c r="P54" s="24" t="str" cm="1">
        <f t="array" ref="P54">_xlfn.IFS(Table2[[#This Row],[Final Risk Score ]]&gt;=5,"High",Table2[[#This Row],[Final Risk Score ]]&gt;=3,"Medium",Table2[[#This Row],[Final Risk Score ]]&lt;=2,"Low")</f>
        <v>Medium</v>
      </c>
      <c r="R54"/>
      <c r="S54"/>
      <c r="T54"/>
      <c r="U54"/>
    </row>
    <row r="55" spans="1:21" x14ac:dyDescent="0.25">
      <c r="A55" s="9" t="s">
        <v>98</v>
      </c>
      <c r="B55" s="13" t="s">
        <v>59</v>
      </c>
      <c r="C55" s="9" t="s">
        <v>21</v>
      </c>
      <c r="D55" s="9" t="s">
        <v>34</v>
      </c>
      <c r="E55" s="9" t="s">
        <v>49</v>
      </c>
      <c r="F55" s="30">
        <v>32018</v>
      </c>
      <c r="G55" s="31">
        <v>9801202</v>
      </c>
      <c r="H55" s="22">
        <v>45820</v>
      </c>
      <c r="I55" s="22">
        <v>46374</v>
      </c>
      <c r="J55" s="9" t="str" cm="1">
        <f t="array" aca="1" ref="J55" ca="1">_xlfn.IFS(Table2[[#This Row],[End Date]]-Dashboard!$Z$4&gt;30, "Active",Table2[[#This Row],[End Date]]-Dashboard!$Z$4&gt;0,"Expiring Soon",Table2[[#This Row],[End Date]]-Dashboard!$Z$4&lt;=0,"Expired")</f>
        <v>Active</v>
      </c>
      <c r="K55" s="10">
        <f ca="1">IF(Table2[[#This Row],[End Date]]-Dashboard!$Z$4&lt;=0,"Expired",Table2[[#This Row],[End Date]]-Dashboard!$Z$4)</f>
        <v>227</v>
      </c>
      <c r="L55" s="13" t="s">
        <v>46</v>
      </c>
      <c r="M55" s="10">
        <v>4</v>
      </c>
      <c r="N55" s="9" t="str" cm="1">
        <f t="array" ref="N55">_xlfn.IFS(Table2[[#This Row],[Claims Count]]&gt;=3,"High",Table2[[#This Row],[Claims Count]]&gt;=1,"Medium",Table2[[#This Row],[Claims Count]]=0,"None")</f>
        <v>High</v>
      </c>
      <c r="O55" s="9" cm="1">
        <f t="array" ref="O55">(_xlfn.IFS(Table2[[#This Row],[Risk Level ]]="High",3,Table2[[#This Row],[Risk Level ]]="Medium",2,Table2[[#This Row],[Risk Level ]]="Low",1))+(_xlfn.IFS(Table2[[#This Row],[ Claims Frequency ]]="High",3,Table2[[#This Row],[ Claims Frequency ]]="Medium",1,Table2[[#This Row],[ Claims Frequency ]]="None",0))</f>
        <v>5</v>
      </c>
      <c r="P55" s="24" t="str" cm="1">
        <f t="array" ref="P55">_xlfn.IFS(Table2[[#This Row],[Final Risk Score ]]&gt;=5,"High",Table2[[#This Row],[Final Risk Score ]]&gt;=3,"Medium",Table2[[#This Row],[Final Risk Score ]]&lt;=2,"Low")</f>
        <v>High</v>
      </c>
      <c r="R55"/>
      <c r="S55"/>
      <c r="T55"/>
      <c r="U55"/>
    </row>
    <row r="56" spans="1:21" x14ac:dyDescent="0.25">
      <c r="A56" s="9" t="s">
        <v>99</v>
      </c>
      <c r="B56" s="13" t="s">
        <v>14</v>
      </c>
      <c r="C56" s="9" t="s">
        <v>37</v>
      </c>
      <c r="D56" s="9" t="s">
        <v>26</v>
      </c>
      <c r="E56" s="9" t="s">
        <v>49</v>
      </c>
      <c r="F56" s="30">
        <v>22416</v>
      </c>
      <c r="G56" s="31">
        <v>3507977</v>
      </c>
      <c r="H56" s="22">
        <v>45724</v>
      </c>
      <c r="I56" s="22">
        <v>46219</v>
      </c>
      <c r="J56" s="9" t="str" cm="1">
        <f t="array" aca="1" ref="J56" ca="1">_xlfn.IFS(Table2[[#This Row],[End Date]]-Dashboard!$Z$4&gt;30, "Active",Table2[[#This Row],[End Date]]-Dashboard!$Z$4&gt;0,"Expiring Soon",Table2[[#This Row],[End Date]]-Dashboard!$Z$4&lt;=0,"Expired")</f>
        <v>Active</v>
      </c>
      <c r="K56" s="10">
        <f ca="1">IF(Table2[[#This Row],[End Date]]-Dashboard!$Z$4&lt;=0,"Expired",Table2[[#This Row],[End Date]]-Dashboard!$Z$4)</f>
        <v>72</v>
      </c>
      <c r="L56" s="13" t="s">
        <v>18</v>
      </c>
      <c r="M56" s="10">
        <v>1</v>
      </c>
      <c r="N56" s="9" t="str" cm="1">
        <f t="array" ref="N56">_xlfn.IFS(Table2[[#This Row],[Claims Count]]&gt;=3,"High",Table2[[#This Row],[Claims Count]]&gt;=1,"Medium",Table2[[#This Row],[Claims Count]]=0,"None")</f>
        <v>Medium</v>
      </c>
      <c r="O56" s="9" cm="1">
        <f t="array" ref="O56">(_xlfn.IFS(Table2[[#This Row],[Risk Level ]]="High",3,Table2[[#This Row],[Risk Level ]]="Medium",2,Table2[[#This Row],[Risk Level ]]="Low",1))+(_xlfn.IFS(Table2[[#This Row],[ Claims Frequency ]]="High",3,Table2[[#This Row],[ Claims Frequency ]]="Medium",1,Table2[[#This Row],[ Claims Frequency ]]="None",0))</f>
        <v>4</v>
      </c>
      <c r="P56" s="24" t="str" cm="1">
        <f t="array" ref="P56">_xlfn.IFS(Table2[[#This Row],[Final Risk Score ]]&gt;=5,"High",Table2[[#This Row],[Final Risk Score ]]&gt;=3,"Medium",Table2[[#This Row],[Final Risk Score ]]&lt;=2,"Low")</f>
        <v>Medium</v>
      </c>
      <c r="R56"/>
      <c r="S56"/>
      <c r="T56"/>
      <c r="U56"/>
    </row>
    <row r="57" spans="1:21" x14ac:dyDescent="0.25">
      <c r="A57" s="9" t="s">
        <v>100</v>
      </c>
      <c r="B57" s="13" t="s">
        <v>56</v>
      </c>
      <c r="C57" s="9" t="s">
        <v>30</v>
      </c>
      <c r="D57" s="9" t="s">
        <v>48</v>
      </c>
      <c r="E57" s="9" t="s">
        <v>39</v>
      </c>
      <c r="F57" s="30">
        <v>30693</v>
      </c>
      <c r="G57" s="31">
        <v>3442703</v>
      </c>
      <c r="H57" s="22">
        <v>45758</v>
      </c>
      <c r="I57" s="22">
        <v>46383</v>
      </c>
      <c r="J57" s="9" t="str" cm="1">
        <f t="array" aca="1" ref="J57" ca="1">_xlfn.IFS(Table2[[#This Row],[End Date]]-Dashboard!$Z$4&gt;30, "Active",Table2[[#This Row],[End Date]]-Dashboard!$Z$4&gt;0,"Expiring Soon",Table2[[#This Row],[End Date]]-Dashboard!$Z$4&lt;=0,"Expired")</f>
        <v>Active</v>
      </c>
      <c r="K57" s="10">
        <f ca="1">IF(Table2[[#This Row],[End Date]]-Dashboard!$Z$4&lt;=0,"Expired",Table2[[#This Row],[End Date]]-Dashboard!$Z$4)</f>
        <v>236</v>
      </c>
      <c r="L57" s="13" t="s">
        <v>46</v>
      </c>
      <c r="M57" s="10">
        <v>6</v>
      </c>
      <c r="N57" s="9" t="str" cm="1">
        <f t="array" ref="N57">_xlfn.IFS(Table2[[#This Row],[Claims Count]]&gt;=3,"High",Table2[[#This Row],[Claims Count]]&gt;=1,"Medium",Table2[[#This Row],[Claims Count]]=0,"None")</f>
        <v>High</v>
      </c>
      <c r="O57" s="9" cm="1">
        <f t="array" ref="O57">(_xlfn.IFS(Table2[[#This Row],[Risk Level ]]="High",3,Table2[[#This Row],[Risk Level ]]="Medium",2,Table2[[#This Row],[Risk Level ]]="Low",1))+(_xlfn.IFS(Table2[[#This Row],[ Claims Frequency ]]="High",3,Table2[[#This Row],[ Claims Frequency ]]="Medium",1,Table2[[#This Row],[ Claims Frequency ]]="None",0))</f>
        <v>5</v>
      </c>
      <c r="P57" s="24" t="str" cm="1">
        <f t="array" ref="P57">_xlfn.IFS(Table2[[#This Row],[Final Risk Score ]]&gt;=5,"High",Table2[[#This Row],[Final Risk Score ]]&gt;=3,"Medium",Table2[[#This Row],[Final Risk Score ]]&lt;=2,"Low")</f>
        <v>High</v>
      </c>
      <c r="R57"/>
      <c r="S57"/>
      <c r="T57"/>
      <c r="U57"/>
    </row>
    <row r="58" spans="1:21" x14ac:dyDescent="0.25">
      <c r="A58" s="9" t="s">
        <v>102</v>
      </c>
      <c r="B58" s="13" t="s">
        <v>77</v>
      </c>
      <c r="C58" s="9" t="s">
        <v>21</v>
      </c>
      <c r="D58" s="9" t="s">
        <v>26</v>
      </c>
      <c r="E58" s="9" t="s">
        <v>23</v>
      </c>
      <c r="F58" s="30">
        <v>15356</v>
      </c>
      <c r="G58" s="31">
        <v>9999825</v>
      </c>
      <c r="H58" s="22">
        <v>45857</v>
      </c>
      <c r="I58" s="22">
        <v>46364</v>
      </c>
      <c r="J58" s="9" t="str" cm="1">
        <f t="array" aca="1" ref="J58" ca="1">_xlfn.IFS(Table2[[#This Row],[End Date]]-Dashboard!$Z$4&gt;30, "Active",Table2[[#This Row],[End Date]]-Dashboard!$Z$4&gt;0,"Expiring Soon",Table2[[#This Row],[End Date]]-Dashboard!$Z$4&lt;=0,"Expired")</f>
        <v>Active</v>
      </c>
      <c r="K58" s="10">
        <f ca="1">IF(Table2[[#This Row],[End Date]]-Dashboard!$Z$4&lt;=0,"Expired",Table2[[#This Row],[End Date]]-Dashboard!$Z$4)</f>
        <v>217</v>
      </c>
      <c r="L58" s="13" t="s">
        <v>18</v>
      </c>
      <c r="M58" s="10">
        <v>1</v>
      </c>
      <c r="N58" s="9" t="str" cm="1">
        <f t="array" ref="N58">_xlfn.IFS(Table2[[#This Row],[Claims Count]]&gt;=3,"High",Table2[[#This Row],[Claims Count]]&gt;=1,"Medium",Table2[[#This Row],[Claims Count]]=0,"None")</f>
        <v>Medium</v>
      </c>
      <c r="O58" s="9" cm="1">
        <f t="array" ref="O58">(_xlfn.IFS(Table2[[#This Row],[Risk Level ]]="High",3,Table2[[#This Row],[Risk Level ]]="Medium",2,Table2[[#This Row],[Risk Level ]]="Low",1))+(_xlfn.IFS(Table2[[#This Row],[ Claims Frequency ]]="High",3,Table2[[#This Row],[ Claims Frequency ]]="Medium",1,Table2[[#This Row],[ Claims Frequency ]]="None",0))</f>
        <v>4</v>
      </c>
      <c r="P58" s="24" t="str" cm="1">
        <f t="array" ref="P58">_xlfn.IFS(Table2[[#This Row],[Final Risk Score ]]&gt;=5,"High",Table2[[#This Row],[Final Risk Score ]]&gt;=3,"Medium",Table2[[#This Row],[Final Risk Score ]]&lt;=2,"Low")</f>
        <v>Medium</v>
      </c>
      <c r="R58"/>
      <c r="S58"/>
      <c r="T58"/>
      <c r="U58"/>
    </row>
    <row r="59" spans="1:21" x14ac:dyDescent="0.25">
      <c r="A59" s="9" t="s">
        <v>104</v>
      </c>
      <c r="B59" s="13" t="s">
        <v>45</v>
      </c>
      <c r="C59" s="9" t="s">
        <v>15</v>
      </c>
      <c r="D59" s="9" t="s">
        <v>16</v>
      </c>
      <c r="E59" s="9" t="s">
        <v>23</v>
      </c>
      <c r="F59" s="30">
        <v>23737</v>
      </c>
      <c r="G59" s="31">
        <v>3155885</v>
      </c>
      <c r="H59" s="22">
        <v>45902</v>
      </c>
      <c r="I59" s="22">
        <v>46215</v>
      </c>
      <c r="J59" s="9" t="str" cm="1">
        <f t="array" aca="1" ref="J59" ca="1">_xlfn.IFS(Table2[[#This Row],[End Date]]-Dashboard!$Z$4&gt;30, "Active",Table2[[#This Row],[End Date]]-Dashboard!$Z$4&gt;0,"Expiring Soon",Table2[[#This Row],[End Date]]-Dashboard!$Z$4&lt;=0,"Expired")</f>
        <v>Active</v>
      </c>
      <c r="K59" s="10">
        <f ca="1">IF(Table2[[#This Row],[End Date]]-Dashboard!$Z$4&lt;=0,"Expired",Table2[[#This Row],[End Date]]-Dashboard!$Z$4)</f>
        <v>68</v>
      </c>
      <c r="L59" s="13" t="s">
        <v>18</v>
      </c>
      <c r="M59" s="10">
        <v>1</v>
      </c>
      <c r="N59" s="9" t="str" cm="1">
        <f t="array" ref="N59">_xlfn.IFS(Table2[[#This Row],[Claims Count]]&gt;=3,"High",Table2[[#This Row],[Claims Count]]&gt;=1,"Medium",Table2[[#This Row],[Claims Count]]=0,"None")</f>
        <v>Medium</v>
      </c>
      <c r="O59" s="9" cm="1">
        <f t="array" ref="O59">(_xlfn.IFS(Table2[[#This Row],[Risk Level ]]="High",3,Table2[[#This Row],[Risk Level ]]="Medium",2,Table2[[#This Row],[Risk Level ]]="Low",1))+(_xlfn.IFS(Table2[[#This Row],[ Claims Frequency ]]="High",3,Table2[[#This Row],[ Claims Frequency ]]="Medium",1,Table2[[#This Row],[ Claims Frequency ]]="None",0))</f>
        <v>4</v>
      </c>
      <c r="P59" s="24" t="str" cm="1">
        <f t="array" ref="P59">_xlfn.IFS(Table2[[#This Row],[Final Risk Score ]]&gt;=5,"High",Table2[[#This Row],[Final Risk Score ]]&gt;=3,"Medium",Table2[[#This Row],[Final Risk Score ]]&lt;=2,"Low")</f>
        <v>Medium</v>
      </c>
      <c r="R59"/>
      <c r="S59"/>
      <c r="T59"/>
      <c r="U59"/>
    </row>
    <row r="60" spans="1:21" x14ac:dyDescent="0.25">
      <c r="A60" s="9" t="s">
        <v>105</v>
      </c>
      <c r="B60" s="13" t="s">
        <v>14</v>
      </c>
      <c r="C60" s="9" t="s">
        <v>15</v>
      </c>
      <c r="D60" s="9" t="s">
        <v>48</v>
      </c>
      <c r="E60" s="9" t="s">
        <v>49</v>
      </c>
      <c r="F60" s="30">
        <v>26408</v>
      </c>
      <c r="G60" s="31">
        <v>3816554</v>
      </c>
      <c r="H60" s="22">
        <v>45703</v>
      </c>
      <c r="I60" s="22">
        <v>46378</v>
      </c>
      <c r="J60" s="9" t="str" cm="1">
        <f t="array" aca="1" ref="J60" ca="1">_xlfn.IFS(Table2[[#This Row],[End Date]]-Dashboard!$Z$4&gt;30, "Active",Table2[[#This Row],[End Date]]-Dashboard!$Z$4&gt;0,"Expiring Soon",Table2[[#This Row],[End Date]]-Dashboard!$Z$4&lt;=0,"Expired")</f>
        <v>Active</v>
      </c>
      <c r="K60" s="10">
        <f ca="1">IF(Table2[[#This Row],[End Date]]-Dashboard!$Z$4&lt;=0,"Expired",Table2[[#This Row],[End Date]]-Dashboard!$Z$4)</f>
        <v>231</v>
      </c>
      <c r="L60" s="13" t="s">
        <v>46</v>
      </c>
      <c r="M60" s="10">
        <v>4</v>
      </c>
      <c r="N60" s="9" t="str" cm="1">
        <f t="array" ref="N60">_xlfn.IFS(Table2[[#This Row],[Claims Count]]&gt;=3,"High",Table2[[#This Row],[Claims Count]]&gt;=1,"Medium",Table2[[#This Row],[Claims Count]]=0,"None")</f>
        <v>High</v>
      </c>
      <c r="O60" s="9" cm="1">
        <f t="array" ref="O60">(_xlfn.IFS(Table2[[#This Row],[Risk Level ]]="High",3,Table2[[#This Row],[Risk Level ]]="Medium",2,Table2[[#This Row],[Risk Level ]]="Low",1))+(_xlfn.IFS(Table2[[#This Row],[ Claims Frequency ]]="High",3,Table2[[#This Row],[ Claims Frequency ]]="Medium",1,Table2[[#This Row],[ Claims Frequency ]]="None",0))</f>
        <v>5</v>
      </c>
      <c r="P60" s="24" t="str" cm="1">
        <f t="array" ref="P60">_xlfn.IFS(Table2[[#This Row],[Final Risk Score ]]&gt;=5,"High",Table2[[#This Row],[Final Risk Score ]]&gt;=3,"Medium",Table2[[#This Row],[Final Risk Score ]]&lt;=2,"Low")</f>
        <v>High</v>
      </c>
      <c r="R60"/>
      <c r="S60"/>
      <c r="T60"/>
      <c r="U60"/>
    </row>
    <row r="61" spans="1:21" x14ac:dyDescent="0.25">
      <c r="A61" s="9" t="s">
        <v>106</v>
      </c>
      <c r="B61" s="13" t="s">
        <v>20</v>
      </c>
      <c r="C61" s="9" t="s">
        <v>21</v>
      </c>
      <c r="D61" s="9" t="s">
        <v>26</v>
      </c>
      <c r="E61" s="9" t="s">
        <v>27</v>
      </c>
      <c r="F61" s="30">
        <v>15101</v>
      </c>
      <c r="G61" s="31">
        <v>6325717</v>
      </c>
      <c r="H61" s="22">
        <v>45971</v>
      </c>
      <c r="I61" s="22">
        <v>46277</v>
      </c>
      <c r="J61" s="9" t="str" cm="1">
        <f t="array" aca="1" ref="J61" ca="1">_xlfn.IFS(Table2[[#This Row],[End Date]]-Dashboard!$Z$4&gt;30, "Active",Table2[[#This Row],[End Date]]-Dashboard!$Z$4&gt;0,"Expiring Soon",Table2[[#This Row],[End Date]]-Dashboard!$Z$4&lt;=0,"Expired")</f>
        <v>Active</v>
      </c>
      <c r="K61" s="10">
        <f ca="1">IF(Table2[[#This Row],[End Date]]-Dashboard!$Z$4&lt;=0,"Expired",Table2[[#This Row],[End Date]]-Dashboard!$Z$4)</f>
        <v>130</v>
      </c>
      <c r="L61" s="13" t="s">
        <v>46</v>
      </c>
      <c r="M61" s="10">
        <v>0</v>
      </c>
      <c r="N61" s="9" t="str" cm="1">
        <f t="array" ref="N61">_xlfn.IFS(Table2[[#This Row],[Claims Count]]&gt;=3,"High",Table2[[#This Row],[Claims Count]]&gt;=1,"Medium",Table2[[#This Row],[Claims Count]]=0,"None")</f>
        <v>None</v>
      </c>
      <c r="O61" s="9" cm="1">
        <f t="array" ref="O61">(_xlfn.IFS(Table2[[#This Row],[Risk Level ]]="High",3,Table2[[#This Row],[Risk Level ]]="Medium",2,Table2[[#This Row],[Risk Level ]]="Low",1))+(_xlfn.IFS(Table2[[#This Row],[ Claims Frequency ]]="High",3,Table2[[#This Row],[ Claims Frequency ]]="Medium",1,Table2[[#This Row],[ Claims Frequency ]]="None",0))</f>
        <v>2</v>
      </c>
      <c r="P61" s="24" t="str" cm="1">
        <f t="array" ref="P61">_xlfn.IFS(Table2[[#This Row],[Final Risk Score ]]&gt;=5,"High",Table2[[#This Row],[Final Risk Score ]]&gt;=3,"Medium",Table2[[#This Row],[Final Risk Score ]]&lt;=2,"Low")</f>
        <v>Low</v>
      </c>
      <c r="R61"/>
      <c r="S61"/>
      <c r="T61"/>
      <c r="U61"/>
    </row>
    <row r="62" spans="1:21" x14ac:dyDescent="0.25">
      <c r="A62" s="9" t="s">
        <v>107</v>
      </c>
      <c r="B62" s="13" t="s">
        <v>43</v>
      </c>
      <c r="C62" s="9" t="s">
        <v>21</v>
      </c>
      <c r="D62" s="9" t="s">
        <v>34</v>
      </c>
      <c r="E62" s="9" t="s">
        <v>23</v>
      </c>
      <c r="F62" s="30">
        <v>26385</v>
      </c>
      <c r="G62" s="31">
        <v>1967308</v>
      </c>
      <c r="H62" s="22">
        <v>45895</v>
      </c>
      <c r="I62" s="22">
        <v>46321</v>
      </c>
      <c r="J62" s="9" t="str" cm="1">
        <f t="array" aca="1" ref="J62" ca="1">_xlfn.IFS(Table2[[#This Row],[End Date]]-Dashboard!$Z$4&gt;30, "Active",Table2[[#This Row],[End Date]]-Dashboard!$Z$4&gt;0,"Expiring Soon",Table2[[#This Row],[End Date]]-Dashboard!$Z$4&lt;=0,"Expired")</f>
        <v>Active</v>
      </c>
      <c r="K62" s="10">
        <f ca="1">IF(Table2[[#This Row],[End Date]]-Dashboard!$Z$4&lt;=0,"Expired",Table2[[#This Row],[End Date]]-Dashboard!$Z$4)</f>
        <v>174</v>
      </c>
      <c r="L62" s="13" t="s">
        <v>46</v>
      </c>
      <c r="M62" s="10">
        <v>0</v>
      </c>
      <c r="N62" s="9" t="str" cm="1">
        <f t="array" ref="N62">_xlfn.IFS(Table2[[#This Row],[Claims Count]]&gt;=3,"High",Table2[[#This Row],[Claims Count]]&gt;=1,"Medium",Table2[[#This Row],[Claims Count]]=0,"None")</f>
        <v>None</v>
      </c>
      <c r="O62" s="9" cm="1">
        <f t="array" ref="O62">(_xlfn.IFS(Table2[[#This Row],[Risk Level ]]="High",3,Table2[[#This Row],[Risk Level ]]="Medium",2,Table2[[#This Row],[Risk Level ]]="Low",1))+(_xlfn.IFS(Table2[[#This Row],[ Claims Frequency ]]="High",3,Table2[[#This Row],[ Claims Frequency ]]="Medium",1,Table2[[#This Row],[ Claims Frequency ]]="None",0))</f>
        <v>2</v>
      </c>
      <c r="P62" s="24" t="str" cm="1">
        <f t="array" ref="P62">_xlfn.IFS(Table2[[#This Row],[Final Risk Score ]]&gt;=5,"High",Table2[[#This Row],[Final Risk Score ]]&gt;=3,"Medium",Table2[[#This Row],[Final Risk Score ]]&lt;=2,"Low")</f>
        <v>Low</v>
      </c>
      <c r="R62"/>
      <c r="S62"/>
      <c r="T62"/>
      <c r="U62"/>
    </row>
    <row r="63" spans="1:21" x14ac:dyDescent="0.25">
      <c r="A63" s="9" t="s">
        <v>108</v>
      </c>
      <c r="B63" s="13" t="s">
        <v>29</v>
      </c>
      <c r="C63" s="9" t="s">
        <v>15</v>
      </c>
      <c r="D63" s="9" t="s">
        <v>31</v>
      </c>
      <c r="E63" s="9" t="s">
        <v>23</v>
      </c>
      <c r="F63" s="30">
        <v>7793</v>
      </c>
      <c r="G63" s="31">
        <v>4278712</v>
      </c>
      <c r="H63" s="22">
        <v>46017</v>
      </c>
      <c r="I63" s="22">
        <v>46154</v>
      </c>
      <c r="J63" s="9" t="str" cm="1">
        <f t="array" aca="1" ref="J63" ca="1">_xlfn.IFS(Table2[[#This Row],[End Date]]-Dashboard!$Z$4&gt;30, "Active",Table2[[#This Row],[End Date]]-Dashboard!$Z$4&gt;0,"Expiring Soon",Table2[[#This Row],[End Date]]-Dashboard!$Z$4&lt;=0,"Expired")</f>
        <v>Expiring Soon</v>
      </c>
      <c r="K63" s="10">
        <f ca="1">IF(Table2[[#This Row],[End Date]]-Dashboard!$Z$4&lt;=0,"Expired",Table2[[#This Row],[End Date]]-Dashboard!$Z$4)</f>
        <v>7</v>
      </c>
      <c r="L63" s="13" t="s">
        <v>46</v>
      </c>
      <c r="M63" s="10">
        <v>6</v>
      </c>
      <c r="N63" s="9" t="str" cm="1">
        <f t="array" ref="N63">_xlfn.IFS(Table2[[#This Row],[Claims Count]]&gt;=3,"High",Table2[[#This Row],[Claims Count]]&gt;=1,"Medium",Table2[[#This Row],[Claims Count]]=0,"None")</f>
        <v>High</v>
      </c>
      <c r="O63" s="9" cm="1">
        <f t="array" ref="O63">(_xlfn.IFS(Table2[[#This Row],[Risk Level ]]="High",3,Table2[[#This Row],[Risk Level ]]="Medium",2,Table2[[#This Row],[Risk Level ]]="Low",1))+(_xlfn.IFS(Table2[[#This Row],[ Claims Frequency ]]="High",3,Table2[[#This Row],[ Claims Frequency ]]="Medium",1,Table2[[#This Row],[ Claims Frequency ]]="None",0))</f>
        <v>5</v>
      </c>
      <c r="P63" s="24" t="str" cm="1">
        <f t="array" ref="P63">_xlfn.IFS(Table2[[#This Row],[Final Risk Score ]]&gt;=5,"High",Table2[[#This Row],[Final Risk Score ]]&gt;=3,"Medium",Table2[[#This Row],[Final Risk Score ]]&lt;=2,"Low")</f>
        <v>High</v>
      </c>
      <c r="R63"/>
      <c r="S63"/>
      <c r="T63"/>
      <c r="U63"/>
    </row>
    <row r="64" spans="1:21" x14ac:dyDescent="0.25">
      <c r="A64" s="9" t="s">
        <v>109</v>
      </c>
      <c r="B64" s="13" t="s">
        <v>53</v>
      </c>
      <c r="C64" s="9" t="s">
        <v>37</v>
      </c>
      <c r="D64" s="9" t="s">
        <v>38</v>
      </c>
      <c r="E64" s="9" t="s">
        <v>17</v>
      </c>
      <c r="F64" s="30">
        <v>17609</v>
      </c>
      <c r="G64" s="31">
        <v>5275565</v>
      </c>
      <c r="H64" s="22">
        <v>45703</v>
      </c>
      <c r="I64" s="22">
        <v>46334</v>
      </c>
      <c r="J64" s="9" t="str" cm="1">
        <f t="array" aca="1" ref="J64" ca="1">_xlfn.IFS(Table2[[#This Row],[End Date]]-Dashboard!$Z$4&gt;30, "Active",Table2[[#This Row],[End Date]]-Dashboard!$Z$4&gt;0,"Expiring Soon",Table2[[#This Row],[End Date]]-Dashboard!$Z$4&lt;=0,"Expired")</f>
        <v>Active</v>
      </c>
      <c r="K64" s="10">
        <f ca="1">IF(Table2[[#This Row],[End Date]]-Dashboard!$Z$4&lt;=0,"Expired",Table2[[#This Row],[End Date]]-Dashboard!$Z$4)</f>
        <v>187</v>
      </c>
      <c r="L64" s="13" t="s">
        <v>46</v>
      </c>
      <c r="M64" s="10">
        <v>6</v>
      </c>
      <c r="N64" s="9" t="str" cm="1">
        <f t="array" ref="N64">_xlfn.IFS(Table2[[#This Row],[Claims Count]]&gt;=3,"High",Table2[[#This Row],[Claims Count]]&gt;=1,"Medium",Table2[[#This Row],[Claims Count]]=0,"None")</f>
        <v>High</v>
      </c>
      <c r="O64" s="9" cm="1">
        <f t="array" ref="O64">(_xlfn.IFS(Table2[[#This Row],[Risk Level ]]="High",3,Table2[[#This Row],[Risk Level ]]="Medium",2,Table2[[#This Row],[Risk Level ]]="Low",1))+(_xlfn.IFS(Table2[[#This Row],[ Claims Frequency ]]="High",3,Table2[[#This Row],[ Claims Frequency ]]="Medium",1,Table2[[#This Row],[ Claims Frequency ]]="None",0))</f>
        <v>5</v>
      </c>
      <c r="P64" s="24" t="str" cm="1">
        <f t="array" ref="P64">_xlfn.IFS(Table2[[#This Row],[Final Risk Score ]]&gt;=5,"High",Table2[[#This Row],[Final Risk Score ]]&gt;=3,"Medium",Table2[[#This Row],[Final Risk Score ]]&lt;=2,"Low")</f>
        <v>High</v>
      </c>
      <c r="R64"/>
      <c r="S64"/>
      <c r="T64"/>
      <c r="U64"/>
    </row>
    <row r="65" spans="1:21" x14ac:dyDescent="0.25">
      <c r="A65" s="9" t="s">
        <v>110</v>
      </c>
      <c r="B65" s="13" t="s">
        <v>25</v>
      </c>
      <c r="C65" s="9" t="s">
        <v>21</v>
      </c>
      <c r="D65" s="9" t="s">
        <v>41</v>
      </c>
      <c r="E65" s="9" t="s">
        <v>49</v>
      </c>
      <c r="F65" s="30">
        <v>15821</v>
      </c>
      <c r="G65" s="31">
        <v>4240296</v>
      </c>
      <c r="H65" s="22">
        <v>45732</v>
      </c>
      <c r="I65" s="22">
        <v>46191</v>
      </c>
      <c r="J65" s="9" t="str" cm="1">
        <f t="array" aca="1" ref="J65" ca="1">_xlfn.IFS(Table2[[#This Row],[End Date]]-Dashboard!$Z$4&gt;30, "Active",Table2[[#This Row],[End Date]]-Dashboard!$Z$4&gt;0,"Expiring Soon",Table2[[#This Row],[End Date]]-Dashboard!$Z$4&lt;=0,"Expired")</f>
        <v>Active</v>
      </c>
      <c r="K65" s="10">
        <f ca="1">IF(Table2[[#This Row],[End Date]]-Dashboard!$Z$4&lt;=0,"Expired",Table2[[#This Row],[End Date]]-Dashboard!$Z$4)</f>
        <v>44</v>
      </c>
      <c r="L65" s="13" t="s">
        <v>11</v>
      </c>
      <c r="M65" s="10">
        <v>2</v>
      </c>
      <c r="N65" s="9" t="str" cm="1">
        <f t="array" ref="N65">_xlfn.IFS(Table2[[#This Row],[Claims Count]]&gt;=3,"High",Table2[[#This Row],[Claims Count]]&gt;=1,"Medium",Table2[[#This Row],[Claims Count]]=0,"None")</f>
        <v>Medium</v>
      </c>
      <c r="O65" s="9" cm="1">
        <f t="array" ref="O65">(_xlfn.IFS(Table2[[#This Row],[Risk Level ]]="High",3,Table2[[#This Row],[Risk Level ]]="Medium",2,Table2[[#This Row],[Risk Level ]]="Low",1))+(_xlfn.IFS(Table2[[#This Row],[ Claims Frequency ]]="High",3,Table2[[#This Row],[ Claims Frequency ]]="Medium",1,Table2[[#This Row],[ Claims Frequency ]]="None",0))</f>
        <v>2</v>
      </c>
      <c r="P65" s="24" t="str" cm="1">
        <f t="array" ref="P65">_xlfn.IFS(Table2[[#This Row],[Final Risk Score ]]&gt;=5,"High",Table2[[#This Row],[Final Risk Score ]]&gt;=3,"Medium",Table2[[#This Row],[Final Risk Score ]]&lt;=2,"Low")</f>
        <v>Low</v>
      </c>
      <c r="R65"/>
      <c r="S65"/>
      <c r="T65"/>
      <c r="U65"/>
    </row>
    <row r="66" spans="1:21" x14ac:dyDescent="0.25">
      <c r="A66" s="9" t="s">
        <v>111</v>
      </c>
      <c r="B66" s="13" t="s">
        <v>56</v>
      </c>
      <c r="C66" s="9" t="s">
        <v>15</v>
      </c>
      <c r="D66" s="9" t="s">
        <v>54</v>
      </c>
      <c r="E66" s="9" t="s">
        <v>17</v>
      </c>
      <c r="F66" s="30">
        <v>8607</v>
      </c>
      <c r="G66" s="31">
        <v>7256996</v>
      </c>
      <c r="H66" s="22">
        <v>45758</v>
      </c>
      <c r="I66" s="22">
        <v>46106</v>
      </c>
      <c r="J66" s="9" t="str" cm="1">
        <f t="array" aca="1" ref="J66" ca="1">_xlfn.IFS(Table2[[#This Row],[End Date]]-Dashboard!$Z$4&gt;30, "Active",Table2[[#This Row],[End Date]]-Dashboard!$Z$4&gt;0,"Expiring Soon",Table2[[#This Row],[End Date]]-Dashboard!$Z$4&lt;=0,"Expired")</f>
        <v>Expired</v>
      </c>
      <c r="K66" s="10" t="str">
        <f ca="1">IF(Table2[[#This Row],[End Date]]-Dashboard!$Z$4&lt;=0,"Expired",Table2[[#This Row],[End Date]]-Dashboard!$Z$4)</f>
        <v>Expired</v>
      </c>
      <c r="L66" s="13" t="s">
        <v>18</v>
      </c>
      <c r="M66" s="10">
        <v>6</v>
      </c>
      <c r="N66" s="9" t="str" cm="1">
        <f t="array" ref="N66">_xlfn.IFS(Table2[[#This Row],[Claims Count]]&gt;=3,"High",Table2[[#This Row],[Claims Count]]&gt;=1,"Medium",Table2[[#This Row],[Claims Count]]=0,"None")</f>
        <v>High</v>
      </c>
      <c r="O66" s="9" cm="1">
        <f t="array" ref="O66">(_xlfn.IFS(Table2[[#This Row],[Risk Level ]]="High",3,Table2[[#This Row],[Risk Level ]]="Medium",2,Table2[[#This Row],[Risk Level ]]="Low",1))+(_xlfn.IFS(Table2[[#This Row],[ Claims Frequency ]]="High",3,Table2[[#This Row],[ Claims Frequency ]]="Medium",1,Table2[[#This Row],[ Claims Frequency ]]="None",0))</f>
        <v>6</v>
      </c>
      <c r="P66" s="24" t="str" cm="1">
        <f t="array" ref="P66">_xlfn.IFS(Table2[[#This Row],[Final Risk Score ]]&gt;=5,"High",Table2[[#This Row],[Final Risk Score ]]&gt;=3,"Medium",Table2[[#This Row],[Final Risk Score ]]&lt;=2,"Low")</f>
        <v>High</v>
      </c>
      <c r="R66"/>
      <c r="S66"/>
      <c r="T66"/>
      <c r="U66"/>
    </row>
    <row r="67" spans="1:21" x14ac:dyDescent="0.25">
      <c r="A67" s="9" t="s">
        <v>112</v>
      </c>
      <c r="B67" s="13" t="s">
        <v>25</v>
      </c>
      <c r="C67" s="9" t="s">
        <v>30</v>
      </c>
      <c r="D67" s="9" t="s">
        <v>22</v>
      </c>
      <c r="E67" s="9" t="s">
        <v>39</v>
      </c>
      <c r="F67" s="30">
        <v>39618</v>
      </c>
      <c r="G67" s="31">
        <v>7519959</v>
      </c>
      <c r="H67" s="22">
        <v>45706</v>
      </c>
      <c r="I67" s="22">
        <v>46121</v>
      </c>
      <c r="J67" s="9" t="str" cm="1">
        <f t="array" aca="1" ref="J67" ca="1">_xlfn.IFS(Table2[[#This Row],[End Date]]-Dashboard!$Z$4&gt;30, "Active",Table2[[#This Row],[End Date]]-Dashboard!$Z$4&gt;0,"Expiring Soon",Table2[[#This Row],[End Date]]-Dashboard!$Z$4&lt;=0,"Expired")</f>
        <v>Expired</v>
      </c>
      <c r="K67" s="10" t="str">
        <f ca="1">IF(Table2[[#This Row],[End Date]]-Dashboard!$Z$4&lt;=0,"Expired",Table2[[#This Row],[End Date]]-Dashboard!$Z$4)</f>
        <v>Expired</v>
      </c>
      <c r="L67" s="13" t="s">
        <v>18</v>
      </c>
      <c r="M67" s="10">
        <v>1</v>
      </c>
      <c r="N67" s="9" t="str" cm="1">
        <f t="array" ref="N67">_xlfn.IFS(Table2[[#This Row],[Claims Count]]&gt;=3,"High",Table2[[#This Row],[Claims Count]]&gt;=1,"Medium",Table2[[#This Row],[Claims Count]]=0,"None")</f>
        <v>Medium</v>
      </c>
      <c r="O67" s="9" cm="1">
        <f t="array" ref="O67">(_xlfn.IFS(Table2[[#This Row],[Risk Level ]]="High",3,Table2[[#This Row],[Risk Level ]]="Medium",2,Table2[[#This Row],[Risk Level ]]="Low",1))+(_xlfn.IFS(Table2[[#This Row],[ Claims Frequency ]]="High",3,Table2[[#This Row],[ Claims Frequency ]]="Medium",1,Table2[[#This Row],[ Claims Frequency ]]="None",0))</f>
        <v>4</v>
      </c>
      <c r="P67" s="24" t="str" cm="1">
        <f t="array" ref="P67">_xlfn.IFS(Table2[[#This Row],[Final Risk Score ]]&gt;=5,"High",Table2[[#This Row],[Final Risk Score ]]&gt;=3,"Medium",Table2[[#This Row],[Final Risk Score ]]&lt;=2,"Low")</f>
        <v>Medium</v>
      </c>
      <c r="R67"/>
      <c r="S67"/>
      <c r="T67"/>
      <c r="U67"/>
    </row>
    <row r="68" spans="1:21" x14ac:dyDescent="0.25">
      <c r="A68" s="9" t="s">
        <v>113</v>
      </c>
      <c r="B68" s="13" t="s">
        <v>20</v>
      </c>
      <c r="C68" s="9" t="s">
        <v>15</v>
      </c>
      <c r="D68" s="9" t="s">
        <v>48</v>
      </c>
      <c r="E68" s="9" t="s">
        <v>17</v>
      </c>
      <c r="F68" s="30">
        <v>30349</v>
      </c>
      <c r="G68" s="31">
        <v>1844319</v>
      </c>
      <c r="H68" s="22">
        <v>45836</v>
      </c>
      <c r="I68" s="22">
        <v>46244</v>
      </c>
      <c r="J68" s="9" t="str" cm="1">
        <f t="array" aca="1" ref="J68" ca="1">_xlfn.IFS(Table2[[#This Row],[End Date]]-Dashboard!$Z$4&gt;30, "Active",Table2[[#This Row],[End Date]]-Dashboard!$Z$4&gt;0,"Expiring Soon",Table2[[#This Row],[End Date]]-Dashboard!$Z$4&lt;=0,"Expired")</f>
        <v>Active</v>
      </c>
      <c r="K68" s="10">
        <f ca="1">IF(Table2[[#This Row],[End Date]]-Dashboard!$Z$4&lt;=0,"Expired",Table2[[#This Row],[End Date]]-Dashboard!$Z$4)</f>
        <v>97</v>
      </c>
      <c r="L68" s="13" t="s">
        <v>46</v>
      </c>
      <c r="M68" s="10">
        <v>6</v>
      </c>
      <c r="N68" s="9" t="str" cm="1">
        <f t="array" ref="N68">_xlfn.IFS(Table2[[#This Row],[Claims Count]]&gt;=3,"High",Table2[[#This Row],[Claims Count]]&gt;=1,"Medium",Table2[[#This Row],[Claims Count]]=0,"None")</f>
        <v>High</v>
      </c>
      <c r="O68" s="9" cm="1">
        <f t="array" ref="O68">(_xlfn.IFS(Table2[[#This Row],[Risk Level ]]="High",3,Table2[[#This Row],[Risk Level ]]="Medium",2,Table2[[#This Row],[Risk Level ]]="Low",1))+(_xlfn.IFS(Table2[[#This Row],[ Claims Frequency ]]="High",3,Table2[[#This Row],[ Claims Frequency ]]="Medium",1,Table2[[#This Row],[ Claims Frequency ]]="None",0))</f>
        <v>5</v>
      </c>
      <c r="P68" s="24" t="str" cm="1">
        <f t="array" ref="P68">_xlfn.IFS(Table2[[#This Row],[Final Risk Score ]]&gt;=5,"High",Table2[[#This Row],[Final Risk Score ]]&gt;=3,"Medium",Table2[[#This Row],[Final Risk Score ]]&lt;=2,"Low")</f>
        <v>High</v>
      </c>
      <c r="R68"/>
      <c r="S68"/>
      <c r="T68"/>
      <c r="U68"/>
    </row>
    <row r="69" spans="1:21" x14ac:dyDescent="0.25">
      <c r="A69" s="9" t="s">
        <v>114</v>
      </c>
      <c r="B69" s="13" t="s">
        <v>56</v>
      </c>
      <c r="C69" s="9" t="s">
        <v>30</v>
      </c>
      <c r="D69" s="9" t="s">
        <v>41</v>
      </c>
      <c r="E69" s="9" t="s">
        <v>39</v>
      </c>
      <c r="F69" s="30">
        <v>19513</v>
      </c>
      <c r="G69" s="31">
        <v>3852336</v>
      </c>
      <c r="H69" s="22">
        <v>45679</v>
      </c>
      <c r="I69" s="22">
        <v>46108</v>
      </c>
      <c r="J69" s="9" t="str" cm="1">
        <f t="array" aca="1" ref="J69" ca="1">_xlfn.IFS(Table2[[#This Row],[End Date]]-Dashboard!$Z$4&gt;30, "Active",Table2[[#This Row],[End Date]]-Dashboard!$Z$4&gt;0,"Expiring Soon",Table2[[#This Row],[End Date]]-Dashboard!$Z$4&lt;=0,"Expired")</f>
        <v>Expired</v>
      </c>
      <c r="K69" s="10" t="str">
        <f ca="1">IF(Table2[[#This Row],[End Date]]-Dashboard!$Z$4&lt;=0,"Expired",Table2[[#This Row],[End Date]]-Dashboard!$Z$4)</f>
        <v>Expired</v>
      </c>
      <c r="L69" s="13" t="s">
        <v>46</v>
      </c>
      <c r="M69" s="10">
        <v>5</v>
      </c>
      <c r="N69" s="9" t="str" cm="1">
        <f t="array" ref="N69">_xlfn.IFS(Table2[[#This Row],[Claims Count]]&gt;=3,"High",Table2[[#This Row],[Claims Count]]&gt;=1,"Medium",Table2[[#This Row],[Claims Count]]=0,"None")</f>
        <v>High</v>
      </c>
      <c r="O69" s="9" cm="1">
        <f t="array" ref="O69">(_xlfn.IFS(Table2[[#This Row],[Risk Level ]]="High",3,Table2[[#This Row],[Risk Level ]]="Medium",2,Table2[[#This Row],[Risk Level ]]="Low",1))+(_xlfn.IFS(Table2[[#This Row],[ Claims Frequency ]]="High",3,Table2[[#This Row],[ Claims Frequency ]]="Medium",1,Table2[[#This Row],[ Claims Frequency ]]="None",0))</f>
        <v>5</v>
      </c>
      <c r="P69" s="24" t="str" cm="1">
        <f t="array" ref="P69">_xlfn.IFS(Table2[[#This Row],[Final Risk Score ]]&gt;=5,"High",Table2[[#This Row],[Final Risk Score ]]&gt;=3,"Medium",Table2[[#This Row],[Final Risk Score ]]&lt;=2,"Low")</f>
        <v>High</v>
      </c>
      <c r="R69"/>
      <c r="S69"/>
      <c r="T69"/>
      <c r="U69"/>
    </row>
    <row r="70" spans="1:21" x14ac:dyDescent="0.25">
      <c r="A70" s="9" t="s">
        <v>115</v>
      </c>
      <c r="B70" s="13" t="s">
        <v>73</v>
      </c>
      <c r="C70" s="9" t="s">
        <v>30</v>
      </c>
      <c r="D70" s="9" t="s">
        <v>41</v>
      </c>
      <c r="E70" s="9" t="s">
        <v>17</v>
      </c>
      <c r="F70" s="30">
        <v>34683</v>
      </c>
      <c r="G70" s="31">
        <v>8316442</v>
      </c>
      <c r="H70" s="22">
        <v>45784</v>
      </c>
      <c r="I70" s="22">
        <v>46288</v>
      </c>
      <c r="J70" s="9" t="str" cm="1">
        <f t="array" aca="1" ref="J70" ca="1">_xlfn.IFS(Table2[[#This Row],[End Date]]-Dashboard!$Z$4&gt;30, "Active",Table2[[#This Row],[End Date]]-Dashboard!$Z$4&gt;0,"Expiring Soon",Table2[[#This Row],[End Date]]-Dashboard!$Z$4&lt;=0,"Expired")</f>
        <v>Active</v>
      </c>
      <c r="K70" s="10">
        <f ca="1">IF(Table2[[#This Row],[End Date]]-Dashboard!$Z$4&lt;=0,"Expired",Table2[[#This Row],[End Date]]-Dashboard!$Z$4)</f>
        <v>141</v>
      </c>
      <c r="L70" s="13" t="s">
        <v>46</v>
      </c>
      <c r="M70" s="10">
        <v>2</v>
      </c>
      <c r="N70" s="9" t="str" cm="1">
        <f t="array" ref="N70">_xlfn.IFS(Table2[[#This Row],[Claims Count]]&gt;=3,"High",Table2[[#This Row],[Claims Count]]&gt;=1,"Medium",Table2[[#This Row],[Claims Count]]=0,"None")</f>
        <v>Medium</v>
      </c>
      <c r="O70" s="9" cm="1">
        <f t="array" ref="O70">(_xlfn.IFS(Table2[[#This Row],[Risk Level ]]="High",3,Table2[[#This Row],[Risk Level ]]="Medium",2,Table2[[#This Row],[Risk Level ]]="Low",1))+(_xlfn.IFS(Table2[[#This Row],[ Claims Frequency ]]="High",3,Table2[[#This Row],[ Claims Frequency ]]="Medium",1,Table2[[#This Row],[ Claims Frequency ]]="None",0))</f>
        <v>3</v>
      </c>
      <c r="P70" s="24" t="str" cm="1">
        <f t="array" ref="P70">_xlfn.IFS(Table2[[#This Row],[Final Risk Score ]]&gt;=5,"High",Table2[[#This Row],[Final Risk Score ]]&gt;=3,"Medium",Table2[[#This Row],[Final Risk Score ]]&lt;=2,"Low")</f>
        <v>Medium</v>
      </c>
      <c r="R70"/>
      <c r="S70"/>
      <c r="T70"/>
      <c r="U70"/>
    </row>
    <row r="71" spans="1:21" x14ac:dyDescent="0.25">
      <c r="A71" s="9" t="s">
        <v>116</v>
      </c>
      <c r="B71" s="13" t="s">
        <v>85</v>
      </c>
      <c r="C71" s="9" t="s">
        <v>37</v>
      </c>
      <c r="D71" s="9" t="s">
        <v>41</v>
      </c>
      <c r="E71" s="9" t="s">
        <v>49</v>
      </c>
      <c r="F71" s="30">
        <v>14046</v>
      </c>
      <c r="G71" s="31">
        <v>8513520</v>
      </c>
      <c r="H71" s="22">
        <v>45679</v>
      </c>
      <c r="I71" s="22">
        <v>46025</v>
      </c>
      <c r="J71" s="9" t="str" cm="1">
        <f t="array" aca="1" ref="J71" ca="1">_xlfn.IFS(Table2[[#This Row],[End Date]]-Dashboard!$Z$4&gt;30, "Active",Table2[[#This Row],[End Date]]-Dashboard!$Z$4&gt;0,"Expiring Soon",Table2[[#This Row],[End Date]]-Dashboard!$Z$4&lt;=0,"Expired")</f>
        <v>Expired</v>
      </c>
      <c r="K71" s="10" t="str">
        <f ca="1">IF(Table2[[#This Row],[End Date]]-Dashboard!$Z$4&lt;=0,"Expired",Table2[[#This Row],[End Date]]-Dashboard!$Z$4)</f>
        <v>Expired</v>
      </c>
      <c r="L71" s="13" t="s">
        <v>18</v>
      </c>
      <c r="M71" s="10">
        <v>4</v>
      </c>
      <c r="N71" s="9" t="str" cm="1">
        <f t="array" ref="N71">_xlfn.IFS(Table2[[#This Row],[Claims Count]]&gt;=3,"High",Table2[[#This Row],[Claims Count]]&gt;=1,"Medium",Table2[[#This Row],[Claims Count]]=0,"None")</f>
        <v>High</v>
      </c>
      <c r="O71" s="9" cm="1">
        <f t="array" ref="O71">(_xlfn.IFS(Table2[[#This Row],[Risk Level ]]="High",3,Table2[[#This Row],[Risk Level ]]="Medium",2,Table2[[#This Row],[Risk Level ]]="Low",1))+(_xlfn.IFS(Table2[[#This Row],[ Claims Frequency ]]="High",3,Table2[[#This Row],[ Claims Frequency ]]="Medium",1,Table2[[#This Row],[ Claims Frequency ]]="None",0))</f>
        <v>6</v>
      </c>
      <c r="P71" s="24" t="str" cm="1">
        <f t="array" ref="P71">_xlfn.IFS(Table2[[#This Row],[Final Risk Score ]]&gt;=5,"High",Table2[[#This Row],[Final Risk Score ]]&gt;=3,"Medium",Table2[[#This Row],[Final Risk Score ]]&lt;=2,"Low")</f>
        <v>High</v>
      </c>
      <c r="R71"/>
      <c r="S71"/>
      <c r="T71"/>
      <c r="U71"/>
    </row>
    <row r="72" spans="1:21" x14ac:dyDescent="0.25">
      <c r="A72" s="9" t="s">
        <v>117</v>
      </c>
      <c r="B72" s="13" t="s">
        <v>56</v>
      </c>
      <c r="C72" s="9" t="s">
        <v>21</v>
      </c>
      <c r="D72" s="9" t="s">
        <v>31</v>
      </c>
      <c r="E72" s="9" t="s">
        <v>39</v>
      </c>
      <c r="F72" s="30">
        <v>21283</v>
      </c>
      <c r="G72" s="31">
        <v>6612031</v>
      </c>
      <c r="H72" s="22">
        <v>45834</v>
      </c>
      <c r="I72" s="22">
        <v>46335</v>
      </c>
      <c r="J72" s="9" t="str" cm="1">
        <f t="array" aca="1" ref="J72" ca="1">_xlfn.IFS(Table2[[#This Row],[End Date]]-Dashboard!$Z$4&gt;30, "Active",Table2[[#This Row],[End Date]]-Dashboard!$Z$4&gt;0,"Expiring Soon",Table2[[#This Row],[End Date]]-Dashboard!$Z$4&lt;=0,"Expired")</f>
        <v>Active</v>
      </c>
      <c r="K72" s="10">
        <f ca="1">IF(Table2[[#This Row],[End Date]]-Dashboard!$Z$4&lt;=0,"Expired",Table2[[#This Row],[End Date]]-Dashboard!$Z$4)</f>
        <v>188</v>
      </c>
      <c r="L72" s="13" t="s">
        <v>46</v>
      </c>
      <c r="M72" s="10">
        <v>5</v>
      </c>
      <c r="N72" s="9" t="str" cm="1">
        <f t="array" ref="N72">_xlfn.IFS(Table2[[#This Row],[Claims Count]]&gt;=3,"High",Table2[[#This Row],[Claims Count]]&gt;=1,"Medium",Table2[[#This Row],[Claims Count]]=0,"None")</f>
        <v>High</v>
      </c>
      <c r="O72" s="9" cm="1">
        <f t="array" ref="O72">(_xlfn.IFS(Table2[[#This Row],[Risk Level ]]="High",3,Table2[[#This Row],[Risk Level ]]="Medium",2,Table2[[#This Row],[Risk Level ]]="Low",1))+(_xlfn.IFS(Table2[[#This Row],[ Claims Frequency ]]="High",3,Table2[[#This Row],[ Claims Frequency ]]="Medium",1,Table2[[#This Row],[ Claims Frequency ]]="None",0))</f>
        <v>5</v>
      </c>
      <c r="P72" s="24" t="str" cm="1">
        <f t="array" ref="P72">_xlfn.IFS(Table2[[#This Row],[Final Risk Score ]]&gt;=5,"High",Table2[[#This Row],[Final Risk Score ]]&gt;=3,"Medium",Table2[[#This Row],[Final Risk Score ]]&lt;=2,"Low")</f>
        <v>High</v>
      </c>
      <c r="R72"/>
      <c r="S72"/>
      <c r="T72"/>
      <c r="U72"/>
    </row>
    <row r="73" spans="1:21" x14ac:dyDescent="0.25">
      <c r="A73" s="9" t="s">
        <v>118</v>
      </c>
      <c r="B73" s="13" t="s">
        <v>145</v>
      </c>
      <c r="C73" s="9" t="s">
        <v>30</v>
      </c>
      <c r="D73" s="9" t="s">
        <v>26</v>
      </c>
      <c r="E73" s="9" t="s">
        <v>39</v>
      </c>
      <c r="F73" s="30">
        <v>18082</v>
      </c>
      <c r="G73" s="31">
        <v>6899201</v>
      </c>
      <c r="H73" s="22">
        <v>45858</v>
      </c>
      <c r="I73" s="22">
        <v>46043</v>
      </c>
      <c r="J73" s="9" t="str" cm="1">
        <f t="array" aca="1" ref="J73" ca="1">_xlfn.IFS(Table2[[#This Row],[End Date]]-Dashboard!$Z$4&gt;30, "Active",Table2[[#This Row],[End Date]]-Dashboard!$Z$4&gt;0,"Expiring Soon",Table2[[#This Row],[End Date]]-Dashboard!$Z$4&lt;=0,"Expired")</f>
        <v>Expired</v>
      </c>
      <c r="K73" s="10" t="str">
        <f ca="1">IF(Table2[[#This Row],[End Date]]-Dashboard!$Z$4&lt;=0,"Expired",Table2[[#This Row],[End Date]]-Dashboard!$Z$4)</f>
        <v>Expired</v>
      </c>
      <c r="L73" s="13" t="s">
        <v>46</v>
      </c>
      <c r="M73" s="10">
        <v>5</v>
      </c>
      <c r="N73" s="9" t="str" cm="1">
        <f t="array" ref="N73">_xlfn.IFS(Table2[[#This Row],[Claims Count]]&gt;=3,"High",Table2[[#This Row],[Claims Count]]&gt;=1,"Medium",Table2[[#This Row],[Claims Count]]=0,"None")</f>
        <v>High</v>
      </c>
      <c r="O73" s="9" cm="1">
        <f t="array" ref="O73">(_xlfn.IFS(Table2[[#This Row],[Risk Level ]]="High",3,Table2[[#This Row],[Risk Level ]]="Medium",2,Table2[[#This Row],[Risk Level ]]="Low",1))+(_xlfn.IFS(Table2[[#This Row],[ Claims Frequency ]]="High",3,Table2[[#This Row],[ Claims Frequency ]]="Medium",1,Table2[[#This Row],[ Claims Frequency ]]="None",0))</f>
        <v>5</v>
      </c>
      <c r="P73" s="24" t="str" cm="1">
        <f t="array" ref="P73">_xlfn.IFS(Table2[[#This Row],[Final Risk Score ]]&gt;=5,"High",Table2[[#This Row],[Final Risk Score ]]&gt;=3,"Medium",Table2[[#This Row],[Final Risk Score ]]&lt;=2,"Low")</f>
        <v>High</v>
      </c>
      <c r="R73"/>
      <c r="S73"/>
      <c r="T73"/>
      <c r="U73"/>
    </row>
    <row r="74" spans="1:21" x14ac:dyDescent="0.25">
      <c r="A74" s="9" t="s">
        <v>119</v>
      </c>
      <c r="B74" s="13" t="s">
        <v>20</v>
      </c>
      <c r="C74" s="9" t="s">
        <v>15</v>
      </c>
      <c r="D74" s="9" t="s">
        <v>38</v>
      </c>
      <c r="E74" s="9" t="s">
        <v>49</v>
      </c>
      <c r="F74" s="30">
        <v>10288</v>
      </c>
      <c r="G74" s="31">
        <v>7795928</v>
      </c>
      <c r="H74" s="22">
        <v>45667</v>
      </c>
      <c r="I74" s="22">
        <v>46352</v>
      </c>
      <c r="J74" s="9" t="str" cm="1">
        <f t="array" aca="1" ref="J74" ca="1">_xlfn.IFS(Table2[[#This Row],[End Date]]-Dashboard!$Z$4&gt;30, "Active",Table2[[#This Row],[End Date]]-Dashboard!$Z$4&gt;0,"Expiring Soon",Table2[[#This Row],[End Date]]-Dashboard!$Z$4&lt;=0,"Expired")</f>
        <v>Active</v>
      </c>
      <c r="K74" s="10">
        <f ca="1">IF(Table2[[#This Row],[End Date]]-Dashboard!$Z$4&lt;=0,"Expired",Table2[[#This Row],[End Date]]-Dashboard!$Z$4)</f>
        <v>205</v>
      </c>
      <c r="L74" s="13" t="s">
        <v>18</v>
      </c>
      <c r="M74" s="10">
        <v>4</v>
      </c>
      <c r="N74" s="9" t="str" cm="1">
        <f t="array" ref="N74">_xlfn.IFS(Table2[[#This Row],[Claims Count]]&gt;=3,"High",Table2[[#This Row],[Claims Count]]&gt;=1,"Medium",Table2[[#This Row],[Claims Count]]=0,"None")</f>
        <v>High</v>
      </c>
      <c r="O74" s="9" cm="1">
        <f t="array" ref="O74">(_xlfn.IFS(Table2[[#This Row],[Risk Level ]]="High",3,Table2[[#This Row],[Risk Level ]]="Medium",2,Table2[[#This Row],[Risk Level ]]="Low",1))+(_xlfn.IFS(Table2[[#This Row],[ Claims Frequency ]]="High",3,Table2[[#This Row],[ Claims Frequency ]]="Medium",1,Table2[[#This Row],[ Claims Frequency ]]="None",0))</f>
        <v>6</v>
      </c>
      <c r="P74" s="24" t="str" cm="1">
        <f t="array" ref="P74">_xlfn.IFS(Table2[[#This Row],[Final Risk Score ]]&gt;=5,"High",Table2[[#This Row],[Final Risk Score ]]&gt;=3,"Medium",Table2[[#This Row],[Final Risk Score ]]&lt;=2,"Low")</f>
        <v>High</v>
      </c>
      <c r="R74"/>
      <c r="S74"/>
      <c r="T74"/>
      <c r="U74"/>
    </row>
    <row r="75" spans="1:21" x14ac:dyDescent="0.25">
      <c r="A75" s="9" t="s">
        <v>120</v>
      </c>
      <c r="B75" s="13" t="s">
        <v>29</v>
      </c>
      <c r="C75" s="9" t="s">
        <v>21</v>
      </c>
      <c r="D75" s="9" t="s">
        <v>41</v>
      </c>
      <c r="E75" s="9" t="s">
        <v>17</v>
      </c>
      <c r="F75" s="30">
        <v>16901</v>
      </c>
      <c r="G75" s="31">
        <v>8085799</v>
      </c>
      <c r="H75" s="22">
        <v>45938</v>
      </c>
      <c r="I75" s="22">
        <v>46093</v>
      </c>
      <c r="J75" s="9" t="str" cm="1">
        <f t="array" aca="1" ref="J75" ca="1">_xlfn.IFS(Table2[[#This Row],[End Date]]-Dashboard!$Z$4&gt;30, "Active",Table2[[#This Row],[End Date]]-Dashboard!$Z$4&gt;0,"Expiring Soon",Table2[[#This Row],[End Date]]-Dashboard!$Z$4&lt;=0,"Expired")</f>
        <v>Expired</v>
      </c>
      <c r="K75" s="10" t="str">
        <f ca="1">IF(Table2[[#This Row],[End Date]]-Dashboard!$Z$4&lt;=0,"Expired",Table2[[#This Row],[End Date]]-Dashboard!$Z$4)</f>
        <v>Expired</v>
      </c>
      <c r="L75" s="13" t="s">
        <v>18</v>
      </c>
      <c r="M75" s="10">
        <v>1</v>
      </c>
      <c r="N75" s="9" t="str" cm="1">
        <f t="array" ref="N75">_xlfn.IFS(Table2[[#This Row],[Claims Count]]&gt;=3,"High",Table2[[#This Row],[Claims Count]]&gt;=1,"Medium",Table2[[#This Row],[Claims Count]]=0,"None")</f>
        <v>Medium</v>
      </c>
      <c r="O75" s="9" cm="1">
        <f t="array" ref="O75">(_xlfn.IFS(Table2[[#This Row],[Risk Level ]]="High",3,Table2[[#This Row],[Risk Level ]]="Medium",2,Table2[[#This Row],[Risk Level ]]="Low",1))+(_xlfn.IFS(Table2[[#This Row],[ Claims Frequency ]]="High",3,Table2[[#This Row],[ Claims Frequency ]]="Medium",1,Table2[[#This Row],[ Claims Frequency ]]="None",0))</f>
        <v>4</v>
      </c>
      <c r="P75" s="24" t="str" cm="1">
        <f t="array" ref="P75">_xlfn.IFS(Table2[[#This Row],[Final Risk Score ]]&gt;=5,"High",Table2[[#This Row],[Final Risk Score ]]&gt;=3,"Medium",Table2[[#This Row],[Final Risk Score ]]&lt;=2,"Low")</f>
        <v>Medium</v>
      </c>
      <c r="R75"/>
      <c r="S75"/>
      <c r="T75"/>
      <c r="U75"/>
    </row>
    <row r="76" spans="1:21" x14ac:dyDescent="0.25">
      <c r="A76" s="9" t="s">
        <v>121</v>
      </c>
      <c r="B76" s="13" t="s">
        <v>63</v>
      </c>
      <c r="C76" s="9" t="s">
        <v>30</v>
      </c>
      <c r="D76" s="9" t="s">
        <v>26</v>
      </c>
      <c r="E76" s="9" t="s">
        <v>17</v>
      </c>
      <c r="F76" s="30">
        <v>20421</v>
      </c>
      <c r="G76" s="31">
        <v>3228795</v>
      </c>
      <c r="H76" s="22">
        <v>45893</v>
      </c>
      <c r="I76" s="22">
        <v>46209</v>
      </c>
      <c r="J76" s="9" t="str" cm="1">
        <f t="array" aca="1" ref="J76" ca="1">_xlfn.IFS(Table2[[#This Row],[End Date]]-Dashboard!$Z$4&gt;30, "Active",Table2[[#This Row],[End Date]]-Dashboard!$Z$4&gt;0,"Expiring Soon",Table2[[#This Row],[End Date]]-Dashboard!$Z$4&lt;=0,"Expired")</f>
        <v>Active</v>
      </c>
      <c r="K76" s="10">
        <f ca="1">IF(Table2[[#This Row],[End Date]]-Dashboard!$Z$4&lt;=0,"Expired",Table2[[#This Row],[End Date]]-Dashboard!$Z$4)</f>
        <v>62</v>
      </c>
      <c r="L76" s="13" t="s">
        <v>11</v>
      </c>
      <c r="M76" s="10">
        <v>4</v>
      </c>
      <c r="N76" s="9" t="str" cm="1">
        <f t="array" ref="N76">_xlfn.IFS(Table2[[#This Row],[Claims Count]]&gt;=3,"High",Table2[[#This Row],[Claims Count]]&gt;=1,"Medium",Table2[[#This Row],[Claims Count]]=0,"None")</f>
        <v>High</v>
      </c>
      <c r="O76" s="9" cm="1">
        <f t="array" ref="O76">(_xlfn.IFS(Table2[[#This Row],[Risk Level ]]="High",3,Table2[[#This Row],[Risk Level ]]="Medium",2,Table2[[#This Row],[Risk Level ]]="Low",1))+(_xlfn.IFS(Table2[[#This Row],[ Claims Frequency ]]="High",3,Table2[[#This Row],[ Claims Frequency ]]="Medium",1,Table2[[#This Row],[ Claims Frequency ]]="None",0))</f>
        <v>4</v>
      </c>
      <c r="P76" s="24" t="str" cm="1">
        <f t="array" ref="P76">_xlfn.IFS(Table2[[#This Row],[Final Risk Score ]]&gt;=5,"High",Table2[[#This Row],[Final Risk Score ]]&gt;=3,"Medium",Table2[[#This Row],[Final Risk Score ]]&lt;=2,"Low")</f>
        <v>Medium</v>
      </c>
      <c r="R76"/>
      <c r="S76"/>
      <c r="T76"/>
      <c r="U76"/>
    </row>
    <row r="77" spans="1:21" x14ac:dyDescent="0.25">
      <c r="A77" s="9" t="s">
        <v>122</v>
      </c>
      <c r="B77" s="13" t="s">
        <v>103</v>
      </c>
      <c r="C77" s="9" t="s">
        <v>37</v>
      </c>
      <c r="D77" s="9" t="s">
        <v>16</v>
      </c>
      <c r="E77" s="9" t="s">
        <v>39</v>
      </c>
      <c r="F77" s="30">
        <v>17258</v>
      </c>
      <c r="G77" s="31">
        <v>8453980</v>
      </c>
      <c r="H77" s="22">
        <v>45814</v>
      </c>
      <c r="I77" s="22">
        <v>46027</v>
      </c>
      <c r="J77" s="9" t="str" cm="1">
        <f t="array" aca="1" ref="J77" ca="1">_xlfn.IFS(Table2[[#This Row],[End Date]]-Dashboard!$Z$4&gt;30, "Active",Table2[[#This Row],[End Date]]-Dashboard!$Z$4&gt;0,"Expiring Soon",Table2[[#This Row],[End Date]]-Dashboard!$Z$4&lt;=0,"Expired")</f>
        <v>Expired</v>
      </c>
      <c r="K77" s="10" t="str">
        <f ca="1">IF(Table2[[#This Row],[End Date]]-Dashboard!$Z$4&lt;=0,"Expired",Table2[[#This Row],[End Date]]-Dashboard!$Z$4)</f>
        <v>Expired</v>
      </c>
      <c r="L77" s="13" t="s">
        <v>11</v>
      </c>
      <c r="M77" s="10">
        <v>5</v>
      </c>
      <c r="N77" s="9" t="str" cm="1">
        <f t="array" ref="N77">_xlfn.IFS(Table2[[#This Row],[Claims Count]]&gt;=3,"High",Table2[[#This Row],[Claims Count]]&gt;=1,"Medium",Table2[[#This Row],[Claims Count]]=0,"None")</f>
        <v>High</v>
      </c>
      <c r="O77" s="9" cm="1">
        <f t="array" ref="O77">(_xlfn.IFS(Table2[[#This Row],[Risk Level ]]="High",3,Table2[[#This Row],[Risk Level ]]="Medium",2,Table2[[#This Row],[Risk Level ]]="Low",1))+(_xlfn.IFS(Table2[[#This Row],[ Claims Frequency ]]="High",3,Table2[[#This Row],[ Claims Frequency ]]="Medium",1,Table2[[#This Row],[ Claims Frequency ]]="None",0))</f>
        <v>4</v>
      </c>
      <c r="P77" s="24" t="str" cm="1">
        <f t="array" ref="P77">_xlfn.IFS(Table2[[#This Row],[Final Risk Score ]]&gt;=5,"High",Table2[[#This Row],[Final Risk Score ]]&gt;=3,"Medium",Table2[[#This Row],[Final Risk Score ]]&lt;=2,"Low")</f>
        <v>Medium</v>
      </c>
      <c r="R77"/>
      <c r="S77"/>
      <c r="T77"/>
      <c r="U77"/>
    </row>
    <row r="78" spans="1:21" x14ac:dyDescent="0.25">
      <c r="A78" s="9" t="s">
        <v>123</v>
      </c>
      <c r="B78" s="13" t="s">
        <v>101</v>
      </c>
      <c r="C78" s="9" t="s">
        <v>37</v>
      </c>
      <c r="D78" s="9" t="s">
        <v>48</v>
      </c>
      <c r="E78" s="9" t="s">
        <v>27</v>
      </c>
      <c r="F78" s="30">
        <v>39142</v>
      </c>
      <c r="G78" s="31">
        <v>3662755</v>
      </c>
      <c r="H78" s="22">
        <v>45811</v>
      </c>
      <c r="I78" s="22">
        <v>46293</v>
      </c>
      <c r="J78" s="9" t="str" cm="1">
        <f t="array" aca="1" ref="J78" ca="1">_xlfn.IFS(Table2[[#This Row],[End Date]]-Dashboard!$Z$4&gt;30, "Active",Table2[[#This Row],[End Date]]-Dashboard!$Z$4&gt;0,"Expiring Soon",Table2[[#This Row],[End Date]]-Dashboard!$Z$4&lt;=0,"Expired")</f>
        <v>Active</v>
      </c>
      <c r="K78" s="10">
        <f ca="1">IF(Table2[[#This Row],[End Date]]-Dashboard!$Z$4&lt;=0,"Expired",Table2[[#This Row],[End Date]]-Dashboard!$Z$4)</f>
        <v>146</v>
      </c>
      <c r="L78" s="13" t="s">
        <v>11</v>
      </c>
      <c r="M78" s="10">
        <v>6</v>
      </c>
      <c r="N78" s="9" t="str" cm="1">
        <f t="array" ref="N78">_xlfn.IFS(Table2[[#This Row],[Claims Count]]&gt;=3,"High",Table2[[#This Row],[Claims Count]]&gt;=1,"Medium",Table2[[#This Row],[Claims Count]]=0,"None")</f>
        <v>High</v>
      </c>
      <c r="O78" s="9" cm="1">
        <f t="array" ref="O78">(_xlfn.IFS(Table2[[#This Row],[Risk Level ]]="High",3,Table2[[#This Row],[Risk Level ]]="Medium",2,Table2[[#This Row],[Risk Level ]]="Low",1))+(_xlfn.IFS(Table2[[#This Row],[ Claims Frequency ]]="High",3,Table2[[#This Row],[ Claims Frequency ]]="Medium",1,Table2[[#This Row],[ Claims Frequency ]]="None",0))</f>
        <v>4</v>
      </c>
      <c r="P78" s="24" t="str" cm="1">
        <f t="array" ref="P78">_xlfn.IFS(Table2[[#This Row],[Final Risk Score ]]&gt;=5,"High",Table2[[#This Row],[Final Risk Score ]]&gt;=3,"Medium",Table2[[#This Row],[Final Risk Score ]]&lt;=2,"Low")</f>
        <v>Medium</v>
      </c>
      <c r="R78"/>
      <c r="S78"/>
      <c r="T78"/>
      <c r="U78"/>
    </row>
    <row r="79" spans="1:21" x14ac:dyDescent="0.25">
      <c r="A79" s="9" t="s">
        <v>124</v>
      </c>
      <c r="B79" s="13" t="s">
        <v>75</v>
      </c>
      <c r="C79" s="9" t="s">
        <v>21</v>
      </c>
      <c r="D79" s="9" t="s">
        <v>31</v>
      </c>
      <c r="E79" s="9" t="s">
        <v>23</v>
      </c>
      <c r="F79" s="30">
        <v>8317</v>
      </c>
      <c r="G79" s="31">
        <v>4061116</v>
      </c>
      <c r="H79" s="22">
        <v>45885</v>
      </c>
      <c r="I79" s="22">
        <v>46109</v>
      </c>
      <c r="J79" s="9" t="str" cm="1">
        <f t="array" aca="1" ref="J79" ca="1">_xlfn.IFS(Table2[[#This Row],[End Date]]-Dashboard!$Z$4&gt;30, "Active",Table2[[#This Row],[End Date]]-Dashboard!$Z$4&gt;0,"Expiring Soon",Table2[[#This Row],[End Date]]-Dashboard!$Z$4&lt;=0,"Expired")</f>
        <v>Expired</v>
      </c>
      <c r="K79" s="10" t="str">
        <f ca="1">IF(Table2[[#This Row],[End Date]]-Dashboard!$Z$4&lt;=0,"Expired",Table2[[#This Row],[End Date]]-Dashboard!$Z$4)</f>
        <v>Expired</v>
      </c>
      <c r="L79" s="13" t="s">
        <v>11</v>
      </c>
      <c r="M79" s="10">
        <v>6</v>
      </c>
      <c r="N79" s="9" t="str" cm="1">
        <f t="array" ref="N79">_xlfn.IFS(Table2[[#This Row],[Claims Count]]&gt;=3,"High",Table2[[#This Row],[Claims Count]]&gt;=1,"Medium",Table2[[#This Row],[Claims Count]]=0,"None")</f>
        <v>High</v>
      </c>
      <c r="O79" s="9" cm="1">
        <f t="array" ref="O79">(_xlfn.IFS(Table2[[#This Row],[Risk Level ]]="High",3,Table2[[#This Row],[Risk Level ]]="Medium",2,Table2[[#This Row],[Risk Level ]]="Low",1))+(_xlfn.IFS(Table2[[#This Row],[ Claims Frequency ]]="High",3,Table2[[#This Row],[ Claims Frequency ]]="Medium",1,Table2[[#This Row],[ Claims Frequency ]]="None",0))</f>
        <v>4</v>
      </c>
      <c r="P79" s="24" t="str" cm="1">
        <f t="array" ref="P79">_xlfn.IFS(Table2[[#This Row],[Final Risk Score ]]&gt;=5,"High",Table2[[#This Row],[Final Risk Score ]]&gt;=3,"Medium",Table2[[#This Row],[Final Risk Score ]]&lt;=2,"Low")</f>
        <v>Medium</v>
      </c>
      <c r="R79"/>
      <c r="S79"/>
      <c r="T79"/>
      <c r="U79"/>
    </row>
    <row r="80" spans="1:21" x14ac:dyDescent="0.25">
      <c r="A80" s="9" t="s">
        <v>125</v>
      </c>
      <c r="B80" s="13" t="s">
        <v>53</v>
      </c>
      <c r="C80" s="9" t="s">
        <v>37</v>
      </c>
      <c r="D80" s="9" t="s">
        <v>16</v>
      </c>
      <c r="E80" s="9" t="s">
        <v>27</v>
      </c>
      <c r="F80" s="30">
        <v>18215</v>
      </c>
      <c r="G80" s="31">
        <v>6830208</v>
      </c>
      <c r="H80" s="22">
        <v>45980</v>
      </c>
      <c r="I80" s="22">
        <v>46281</v>
      </c>
      <c r="J80" s="9" t="str" cm="1">
        <f t="array" aca="1" ref="J80" ca="1">_xlfn.IFS(Table2[[#This Row],[End Date]]-Dashboard!$Z$4&gt;30, "Active",Table2[[#This Row],[End Date]]-Dashboard!$Z$4&gt;0,"Expiring Soon",Table2[[#This Row],[End Date]]-Dashboard!$Z$4&lt;=0,"Expired")</f>
        <v>Active</v>
      </c>
      <c r="K80" s="10">
        <f ca="1">IF(Table2[[#This Row],[End Date]]-Dashboard!$Z$4&lt;=0,"Expired",Table2[[#This Row],[End Date]]-Dashboard!$Z$4)</f>
        <v>134</v>
      </c>
      <c r="L80" s="13" t="s">
        <v>46</v>
      </c>
      <c r="M80" s="10">
        <v>3</v>
      </c>
      <c r="N80" s="9" t="str" cm="1">
        <f t="array" ref="N80">_xlfn.IFS(Table2[[#This Row],[Claims Count]]&gt;=3,"High",Table2[[#This Row],[Claims Count]]&gt;=1,"Medium",Table2[[#This Row],[Claims Count]]=0,"None")</f>
        <v>High</v>
      </c>
      <c r="O80" s="9" cm="1">
        <f t="array" ref="O80">(_xlfn.IFS(Table2[[#This Row],[Risk Level ]]="High",3,Table2[[#This Row],[Risk Level ]]="Medium",2,Table2[[#This Row],[Risk Level ]]="Low",1))+(_xlfn.IFS(Table2[[#This Row],[ Claims Frequency ]]="High",3,Table2[[#This Row],[ Claims Frequency ]]="Medium",1,Table2[[#This Row],[ Claims Frequency ]]="None",0))</f>
        <v>5</v>
      </c>
      <c r="P80" s="24" t="str" cm="1">
        <f t="array" ref="P80">_xlfn.IFS(Table2[[#This Row],[Final Risk Score ]]&gt;=5,"High",Table2[[#This Row],[Final Risk Score ]]&gt;=3,"Medium",Table2[[#This Row],[Final Risk Score ]]&lt;=2,"Low")</f>
        <v>High</v>
      </c>
      <c r="R80"/>
      <c r="S80"/>
      <c r="T80"/>
      <c r="U80"/>
    </row>
    <row r="81" spans="1:21" x14ac:dyDescent="0.25">
      <c r="A81" s="9" t="s">
        <v>126</v>
      </c>
      <c r="B81" s="13" t="s">
        <v>145</v>
      </c>
      <c r="C81" s="9" t="s">
        <v>37</v>
      </c>
      <c r="D81" s="9" t="s">
        <v>48</v>
      </c>
      <c r="E81" s="9" t="s">
        <v>39</v>
      </c>
      <c r="F81" s="30">
        <v>34902</v>
      </c>
      <c r="G81" s="31">
        <v>3366527</v>
      </c>
      <c r="H81" s="22">
        <v>45771</v>
      </c>
      <c r="I81" s="22">
        <v>46089</v>
      </c>
      <c r="J81" s="9" t="str" cm="1">
        <f t="array" aca="1" ref="J81" ca="1">_xlfn.IFS(Table2[[#This Row],[End Date]]-Dashboard!$Z$4&gt;30, "Active",Table2[[#This Row],[End Date]]-Dashboard!$Z$4&gt;0,"Expiring Soon",Table2[[#This Row],[End Date]]-Dashboard!$Z$4&lt;=0,"Expired")</f>
        <v>Expired</v>
      </c>
      <c r="K81" s="10" t="str">
        <f ca="1">IF(Table2[[#This Row],[End Date]]-Dashboard!$Z$4&lt;=0,"Expired",Table2[[#This Row],[End Date]]-Dashboard!$Z$4)</f>
        <v>Expired</v>
      </c>
      <c r="L81" s="13" t="s">
        <v>46</v>
      </c>
      <c r="M81" s="10">
        <v>4</v>
      </c>
      <c r="N81" s="9" t="str" cm="1">
        <f t="array" ref="N81">_xlfn.IFS(Table2[[#This Row],[Claims Count]]&gt;=3,"High",Table2[[#This Row],[Claims Count]]&gt;=1,"Medium",Table2[[#This Row],[Claims Count]]=0,"None")</f>
        <v>High</v>
      </c>
      <c r="O81" s="9" cm="1">
        <f t="array" ref="O81">(_xlfn.IFS(Table2[[#This Row],[Risk Level ]]="High",3,Table2[[#This Row],[Risk Level ]]="Medium",2,Table2[[#This Row],[Risk Level ]]="Low",1))+(_xlfn.IFS(Table2[[#This Row],[ Claims Frequency ]]="High",3,Table2[[#This Row],[ Claims Frequency ]]="Medium",1,Table2[[#This Row],[ Claims Frequency ]]="None",0))</f>
        <v>5</v>
      </c>
      <c r="P81" s="24" t="str" cm="1">
        <f t="array" ref="P81">_xlfn.IFS(Table2[[#This Row],[Final Risk Score ]]&gt;=5,"High",Table2[[#This Row],[Final Risk Score ]]&gt;=3,"Medium",Table2[[#This Row],[Final Risk Score ]]&lt;=2,"Low")</f>
        <v>High</v>
      </c>
      <c r="R81"/>
      <c r="S81"/>
      <c r="T81"/>
      <c r="U81"/>
    </row>
    <row r="82" spans="1:21" x14ac:dyDescent="0.25">
      <c r="A82" s="9" t="s">
        <v>127</v>
      </c>
      <c r="B82" s="13" t="s">
        <v>56</v>
      </c>
      <c r="C82" s="9" t="s">
        <v>21</v>
      </c>
      <c r="D82" s="9" t="s">
        <v>22</v>
      </c>
      <c r="E82" s="9" t="s">
        <v>49</v>
      </c>
      <c r="F82" s="30">
        <v>12936</v>
      </c>
      <c r="G82" s="31">
        <v>2343414</v>
      </c>
      <c r="H82" s="22">
        <v>45751</v>
      </c>
      <c r="I82" s="22">
        <v>46192</v>
      </c>
      <c r="J82" s="9" t="str" cm="1">
        <f t="array" aca="1" ref="J82" ca="1">_xlfn.IFS(Table2[[#This Row],[End Date]]-Dashboard!$Z$4&gt;30, "Active",Table2[[#This Row],[End Date]]-Dashboard!$Z$4&gt;0,"Expiring Soon",Table2[[#This Row],[End Date]]-Dashboard!$Z$4&lt;=0,"Expired")</f>
        <v>Active</v>
      </c>
      <c r="K82" s="10">
        <f ca="1">IF(Table2[[#This Row],[End Date]]-Dashboard!$Z$4&lt;=0,"Expired",Table2[[#This Row],[End Date]]-Dashboard!$Z$4)</f>
        <v>45</v>
      </c>
      <c r="L82" s="13" t="s">
        <v>11</v>
      </c>
      <c r="M82" s="10">
        <v>5</v>
      </c>
      <c r="N82" s="9" t="str" cm="1">
        <f t="array" ref="N82">_xlfn.IFS(Table2[[#This Row],[Claims Count]]&gt;=3,"High",Table2[[#This Row],[Claims Count]]&gt;=1,"Medium",Table2[[#This Row],[Claims Count]]=0,"None")</f>
        <v>High</v>
      </c>
      <c r="O82" s="9" cm="1">
        <f t="array" ref="O82">(_xlfn.IFS(Table2[[#This Row],[Risk Level ]]="High",3,Table2[[#This Row],[Risk Level ]]="Medium",2,Table2[[#This Row],[Risk Level ]]="Low",1))+(_xlfn.IFS(Table2[[#This Row],[ Claims Frequency ]]="High",3,Table2[[#This Row],[ Claims Frequency ]]="Medium",1,Table2[[#This Row],[ Claims Frequency ]]="None",0))</f>
        <v>4</v>
      </c>
      <c r="P82" s="24" t="str" cm="1">
        <f t="array" ref="P82">_xlfn.IFS(Table2[[#This Row],[Final Risk Score ]]&gt;=5,"High",Table2[[#This Row],[Final Risk Score ]]&gt;=3,"Medium",Table2[[#This Row],[Final Risk Score ]]&lt;=2,"Low")</f>
        <v>Medium</v>
      </c>
      <c r="R82"/>
      <c r="S82"/>
      <c r="T82"/>
      <c r="U82"/>
    </row>
    <row r="83" spans="1:21" x14ac:dyDescent="0.25">
      <c r="A83" s="9" t="s">
        <v>128</v>
      </c>
      <c r="B83" s="13" t="s">
        <v>43</v>
      </c>
      <c r="C83" s="9" t="s">
        <v>21</v>
      </c>
      <c r="D83" s="9" t="s">
        <v>22</v>
      </c>
      <c r="E83" s="9" t="s">
        <v>39</v>
      </c>
      <c r="F83" s="30">
        <v>36982</v>
      </c>
      <c r="G83" s="31">
        <v>4710730</v>
      </c>
      <c r="H83" s="22">
        <v>45917</v>
      </c>
      <c r="I83" s="22">
        <v>46241</v>
      </c>
      <c r="J83" s="9" t="str" cm="1">
        <f t="array" aca="1" ref="J83" ca="1">_xlfn.IFS(Table2[[#This Row],[End Date]]-Dashboard!$Z$4&gt;30, "Active",Table2[[#This Row],[End Date]]-Dashboard!$Z$4&gt;0,"Expiring Soon",Table2[[#This Row],[End Date]]-Dashboard!$Z$4&lt;=0,"Expired")</f>
        <v>Active</v>
      </c>
      <c r="K83" s="10">
        <f ca="1">IF(Table2[[#This Row],[End Date]]-Dashboard!$Z$4&lt;=0,"Expired",Table2[[#This Row],[End Date]]-Dashboard!$Z$4)</f>
        <v>94</v>
      </c>
      <c r="L83" s="13" t="s">
        <v>46</v>
      </c>
      <c r="M83" s="10">
        <v>6</v>
      </c>
      <c r="N83" s="9" t="str" cm="1">
        <f t="array" ref="N83">_xlfn.IFS(Table2[[#This Row],[Claims Count]]&gt;=3,"High",Table2[[#This Row],[Claims Count]]&gt;=1,"Medium",Table2[[#This Row],[Claims Count]]=0,"None")</f>
        <v>High</v>
      </c>
      <c r="O83" s="9" cm="1">
        <f t="array" ref="O83">(_xlfn.IFS(Table2[[#This Row],[Risk Level ]]="High",3,Table2[[#This Row],[Risk Level ]]="Medium",2,Table2[[#This Row],[Risk Level ]]="Low",1))+(_xlfn.IFS(Table2[[#This Row],[ Claims Frequency ]]="High",3,Table2[[#This Row],[ Claims Frequency ]]="Medium",1,Table2[[#This Row],[ Claims Frequency ]]="None",0))</f>
        <v>5</v>
      </c>
      <c r="P83" s="24" t="str" cm="1">
        <f t="array" ref="P83">_xlfn.IFS(Table2[[#This Row],[Final Risk Score ]]&gt;=5,"High",Table2[[#This Row],[Final Risk Score ]]&gt;=3,"Medium",Table2[[#This Row],[Final Risk Score ]]&lt;=2,"Low")</f>
        <v>High</v>
      </c>
      <c r="R83"/>
      <c r="S83"/>
      <c r="T83"/>
      <c r="U83"/>
    </row>
    <row r="84" spans="1:21" x14ac:dyDescent="0.25">
      <c r="A84" s="9" t="s">
        <v>129</v>
      </c>
      <c r="B84" s="13" t="s">
        <v>53</v>
      </c>
      <c r="C84" s="9" t="s">
        <v>37</v>
      </c>
      <c r="D84" s="9" t="s">
        <v>31</v>
      </c>
      <c r="E84" s="9" t="s">
        <v>27</v>
      </c>
      <c r="F84" s="30">
        <v>11083</v>
      </c>
      <c r="G84" s="31">
        <v>9062112</v>
      </c>
      <c r="H84" s="22">
        <v>45769</v>
      </c>
      <c r="I84" s="22">
        <v>46113</v>
      </c>
      <c r="J84" s="9" t="str" cm="1">
        <f t="array" aca="1" ref="J84" ca="1">_xlfn.IFS(Table2[[#This Row],[End Date]]-Dashboard!$Z$4&gt;30, "Active",Table2[[#This Row],[End Date]]-Dashboard!$Z$4&gt;0,"Expiring Soon",Table2[[#This Row],[End Date]]-Dashboard!$Z$4&lt;=0,"Expired")</f>
        <v>Expired</v>
      </c>
      <c r="K84" s="10" t="str">
        <f ca="1">IF(Table2[[#This Row],[End Date]]-Dashboard!$Z$4&lt;=0,"Expired",Table2[[#This Row],[End Date]]-Dashboard!$Z$4)</f>
        <v>Expired</v>
      </c>
      <c r="L84" s="13" t="s">
        <v>46</v>
      </c>
      <c r="M84" s="10">
        <v>2</v>
      </c>
      <c r="N84" s="9" t="str" cm="1">
        <f t="array" ref="N84">_xlfn.IFS(Table2[[#This Row],[Claims Count]]&gt;=3,"High",Table2[[#This Row],[Claims Count]]&gt;=1,"Medium",Table2[[#This Row],[Claims Count]]=0,"None")</f>
        <v>Medium</v>
      </c>
      <c r="O84" s="9" cm="1">
        <f t="array" ref="O84">(_xlfn.IFS(Table2[[#This Row],[Risk Level ]]="High",3,Table2[[#This Row],[Risk Level ]]="Medium",2,Table2[[#This Row],[Risk Level ]]="Low",1))+(_xlfn.IFS(Table2[[#This Row],[ Claims Frequency ]]="High",3,Table2[[#This Row],[ Claims Frequency ]]="Medium",1,Table2[[#This Row],[ Claims Frequency ]]="None",0))</f>
        <v>3</v>
      </c>
      <c r="P84" s="24" t="str" cm="1">
        <f t="array" ref="P84">_xlfn.IFS(Table2[[#This Row],[Final Risk Score ]]&gt;=5,"High",Table2[[#This Row],[Final Risk Score ]]&gt;=3,"Medium",Table2[[#This Row],[Final Risk Score ]]&lt;=2,"Low")</f>
        <v>Medium</v>
      </c>
      <c r="R84"/>
      <c r="S84"/>
      <c r="T84"/>
      <c r="U84"/>
    </row>
    <row r="85" spans="1:21" x14ac:dyDescent="0.25">
      <c r="A85" s="9" t="s">
        <v>130</v>
      </c>
      <c r="B85" s="13" t="s">
        <v>51</v>
      </c>
      <c r="C85" s="9" t="s">
        <v>37</v>
      </c>
      <c r="D85" s="9" t="s">
        <v>54</v>
      </c>
      <c r="E85" s="9" t="s">
        <v>23</v>
      </c>
      <c r="F85" s="30">
        <v>21922</v>
      </c>
      <c r="G85" s="31">
        <v>3220154</v>
      </c>
      <c r="H85" s="22">
        <v>45950</v>
      </c>
      <c r="I85" s="22">
        <v>46322</v>
      </c>
      <c r="J85" s="9" t="str" cm="1">
        <f t="array" aca="1" ref="J85" ca="1">_xlfn.IFS(Table2[[#This Row],[End Date]]-Dashboard!$Z$4&gt;30, "Active",Table2[[#This Row],[End Date]]-Dashboard!$Z$4&gt;0,"Expiring Soon",Table2[[#This Row],[End Date]]-Dashboard!$Z$4&lt;=0,"Expired")</f>
        <v>Active</v>
      </c>
      <c r="K85" s="10">
        <f ca="1">IF(Table2[[#This Row],[End Date]]-Dashboard!$Z$4&lt;=0,"Expired",Table2[[#This Row],[End Date]]-Dashboard!$Z$4)</f>
        <v>175</v>
      </c>
      <c r="L85" s="13" t="s">
        <v>46</v>
      </c>
      <c r="M85" s="10">
        <v>6</v>
      </c>
      <c r="N85" s="9" t="str" cm="1">
        <f t="array" ref="N85">_xlfn.IFS(Table2[[#This Row],[Claims Count]]&gt;=3,"High",Table2[[#This Row],[Claims Count]]&gt;=1,"Medium",Table2[[#This Row],[Claims Count]]=0,"None")</f>
        <v>High</v>
      </c>
      <c r="O85" s="9" cm="1">
        <f t="array" ref="O85">(_xlfn.IFS(Table2[[#This Row],[Risk Level ]]="High",3,Table2[[#This Row],[Risk Level ]]="Medium",2,Table2[[#This Row],[Risk Level ]]="Low",1))+(_xlfn.IFS(Table2[[#This Row],[ Claims Frequency ]]="High",3,Table2[[#This Row],[ Claims Frequency ]]="Medium",1,Table2[[#This Row],[ Claims Frequency ]]="None",0))</f>
        <v>5</v>
      </c>
      <c r="P85" s="24" t="str" cm="1">
        <f t="array" ref="P85">_xlfn.IFS(Table2[[#This Row],[Final Risk Score ]]&gt;=5,"High",Table2[[#This Row],[Final Risk Score ]]&gt;=3,"Medium",Table2[[#This Row],[Final Risk Score ]]&lt;=2,"Low")</f>
        <v>High</v>
      </c>
      <c r="R85"/>
      <c r="S85"/>
      <c r="T85"/>
      <c r="U85"/>
    </row>
    <row r="86" spans="1:21" x14ac:dyDescent="0.25">
      <c r="A86" s="9" t="s">
        <v>131</v>
      </c>
      <c r="B86" s="13" t="s">
        <v>63</v>
      </c>
      <c r="C86" s="9" t="s">
        <v>37</v>
      </c>
      <c r="D86" s="9" t="s">
        <v>16</v>
      </c>
      <c r="E86" s="9" t="s">
        <v>49</v>
      </c>
      <c r="F86" s="30">
        <v>28381</v>
      </c>
      <c r="G86" s="31">
        <v>4203063</v>
      </c>
      <c r="H86" s="22">
        <v>45989</v>
      </c>
      <c r="I86" s="22">
        <v>46175</v>
      </c>
      <c r="J86" s="9" t="str" cm="1">
        <f t="array" aca="1" ref="J86" ca="1">_xlfn.IFS(Table2[[#This Row],[End Date]]-Dashboard!$Z$4&gt;30, "Active",Table2[[#This Row],[End Date]]-Dashboard!$Z$4&gt;0,"Expiring Soon",Table2[[#This Row],[End Date]]-Dashboard!$Z$4&lt;=0,"Expired")</f>
        <v>Expiring Soon</v>
      </c>
      <c r="K86" s="10">
        <f ca="1">IF(Table2[[#This Row],[End Date]]-Dashboard!$Z$4&lt;=0,"Expired",Table2[[#This Row],[End Date]]-Dashboard!$Z$4)</f>
        <v>28</v>
      </c>
      <c r="L86" s="13" t="s">
        <v>11</v>
      </c>
      <c r="M86" s="10">
        <v>4</v>
      </c>
      <c r="N86" s="9" t="str" cm="1">
        <f t="array" ref="N86">_xlfn.IFS(Table2[[#This Row],[Claims Count]]&gt;=3,"High",Table2[[#This Row],[Claims Count]]&gt;=1,"Medium",Table2[[#This Row],[Claims Count]]=0,"None")</f>
        <v>High</v>
      </c>
      <c r="O86" s="9" cm="1">
        <f t="array" ref="O86">(_xlfn.IFS(Table2[[#This Row],[Risk Level ]]="High",3,Table2[[#This Row],[Risk Level ]]="Medium",2,Table2[[#This Row],[Risk Level ]]="Low",1))+(_xlfn.IFS(Table2[[#This Row],[ Claims Frequency ]]="High",3,Table2[[#This Row],[ Claims Frequency ]]="Medium",1,Table2[[#This Row],[ Claims Frequency ]]="None",0))</f>
        <v>4</v>
      </c>
      <c r="P86" s="24" t="str" cm="1">
        <f t="array" ref="P86">_xlfn.IFS(Table2[[#This Row],[Final Risk Score ]]&gt;=5,"High",Table2[[#This Row],[Final Risk Score ]]&gt;=3,"Medium",Table2[[#This Row],[Final Risk Score ]]&lt;=2,"Low")</f>
        <v>Medium</v>
      </c>
      <c r="R86"/>
      <c r="S86"/>
      <c r="T86"/>
      <c r="U86"/>
    </row>
    <row r="87" spans="1:21" x14ac:dyDescent="0.25">
      <c r="A87" s="9" t="s">
        <v>132</v>
      </c>
      <c r="B87" s="13" t="s">
        <v>145</v>
      </c>
      <c r="C87" s="9" t="s">
        <v>30</v>
      </c>
      <c r="D87" s="9" t="s">
        <v>41</v>
      </c>
      <c r="E87" s="9" t="s">
        <v>39</v>
      </c>
      <c r="F87" s="30">
        <v>13287</v>
      </c>
      <c r="G87" s="31">
        <v>9454589</v>
      </c>
      <c r="H87" s="22">
        <v>46011</v>
      </c>
      <c r="I87" s="22">
        <v>46041</v>
      </c>
      <c r="J87" s="9" t="str" cm="1">
        <f t="array" aca="1" ref="J87" ca="1">_xlfn.IFS(Table2[[#This Row],[End Date]]-Dashboard!$Z$4&gt;30, "Active",Table2[[#This Row],[End Date]]-Dashboard!$Z$4&gt;0,"Expiring Soon",Table2[[#This Row],[End Date]]-Dashboard!$Z$4&lt;=0,"Expired")</f>
        <v>Expired</v>
      </c>
      <c r="K87" s="10" t="str">
        <f ca="1">IF(Table2[[#This Row],[End Date]]-Dashboard!$Z$4&lt;=0,"Expired",Table2[[#This Row],[End Date]]-Dashboard!$Z$4)</f>
        <v>Expired</v>
      </c>
      <c r="L87" s="13" t="s">
        <v>11</v>
      </c>
      <c r="M87" s="10">
        <v>6</v>
      </c>
      <c r="N87" s="9" t="str" cm="1">
        <f t="array" ref="N87">_xlfn.IFS(Table2[[#This Row],[Claims Count]]&gt;=3,"High",Table2[[#This Row],[Claims Count]]&gt;=1,"Medium",Table2[[#This Row],[Claims Count]]=0,"None")</f>
        <v>High</v>
      </c>
      <c r="O87" s="9" cm="1">
        <f t="array" ref="O87">(_xlfn.IFS(Table2[[#This Row],[Risk Level ]]="High",3,Table2[[#This Row],[Risk Level ]]="Medium",2,Table2[[#This Row],[Risk Level ]]="Low",1))+(_xlfn.IFS(Table2[[#This Row],[ Claims Frequency ]]="High",3,Table2[[#This Row],[ Claims Frequency ]]="Medium",1,Table2[[#This Row],[ Claims Frequency ]]="None",0))</f>
        <v>4</v>
      </c>
      <c r="P87" s="24" t="str" cm="1">
        <f t="array" ref="P87">_xlfn.IFS(Table2[[#This Row],[Final Risk Score ]]&gt;=5,"High",Table2[[#This Row],[Final Risk Score ]]&gt;=3,"Medium",Table2[[#This Row],[Final Risk Score ]]&lt;=2,"Low")</f>
        <v>Medium</v>
      </c>
      <c r="R87"/>
      <c r="S87"/>
      <c r="T87"/>
      <c r="U87"/>
    </row>
    <row r="88" spans="1:21" x14ac:dyDescent="0.25">
      <c r="A88" s="9" t="s">
        <v>133</v>
      </c>
      <c r="B88" s="13" t="s">
        <v>101</v>
      </c>
      <c r="C88" s="9" t="s">
        <v>21</v>
      </c>
      <c r="D88" s="9" t="s">
        <v>38</v>
      </c>
      <c r="E88" s="9" t="s">
        <v>23</v>
      </c>
      <c r="F88" s="30">
        <v>15833</v>
      </c>
      <c r="G88" s="31">
        <v>1643081</v>
      </c>
      <c r="H88" s="22">
        <v>45829</v>
      </c>
      <c r="I88" s="22">
        <v>46147</v>
      </c>
      <c r="J88" s="9" t="str" cm="1">
        <f t="array" aca="1" ref="J88" ca="1">_xlfn.IFS(Table2[[#This Row],[End Date]]-Dashboard!$Z$4&gt;30, "Active",Table2[[#This Row],[End Date]]-Dashboard!$Z$4&gt;0,"Expiring Soon",Table2[[#This Row],[End Date]]-Dashboard!$Z$4&lt;=0,"Expired")</f>
        <v>Expired</v>
      </c>
      <c r="K88" s="10" t="str">
        <f ca="1">IF(Table2[[#This Row],[End Date]]-Dashboard!$Z$4&lt;=0,"Expired",Table2[[#This Row],[End Date]]-Dashboard!$Z$4)</f>
        <v>Expired</v>
      </c>
      <c r="L88" s="13" t="s">
        <v>11</v>
      </c>
      <c r="M88" s="10">
        <v>3</v>
      </c>
      <c r="N88" s="9" t="str" cm="1">
        <f t="array" ref="N88">_xlfn.IFS(Table2[[#This Row],[Claims Count]]&gt;=3,"High",Table2[[#This Row],[Claims Count]]&gt;=1,"Medium",Table2[[#This Row],[Claims Count]]=0,"None")</f>
        <v>High</v>
      </c>
      <c r="O88" s="9" cm="1">
        <f t="array" ref="O88">(_xlfn.IFS(Table2[[#This Row],[Risk Level ]]="High",3,Table2[[#This Row],[Risk Level ]]="Medium",2,Table2[[#This Row],[Risk Level ]]="Low",1))+(_xlfn.IFS(Table2[[#This Row],[ Claims Frequency ]]="High",3,Table2[[#This Row],[ Claims Frequency ]]="Medium",1,Table2[[#This Row],[ Claims Frequency ]]="None",0))</f>
        <v>4</v>
      </c>
      <c r="P88" s="24" t="str" cm="1">
        <f t="array" ref="P88">_xlfn.IFS(Table2[[#This Row],[Final Risk Score ]]&gt;=5,"High",Table2[[#This Row],[Final Risk Score ]]&gt;=3,"Medium",Table2[[#This Row],[Final Risk Score ]]&lt;=2,"Low")</f>
        <v>Medium</v>
      </c>
      <c r="R88"/>
      <c r="S88"/>
      <c r="T88"/>
      <c r="U88"/>
    </row>
    <row r="89" spans="1:21" x14ac:dyDescent="0.25">
      <c r="A89" s="9" t="s">
        <v>134</v>
      </c>
      <c r="B89" s="13" t="s">
        <v>75</v>
      </c>
      <c r="C89" s="9" t="s">
        <v>37</v>
      </c>
      <c r="D89" s="9" t="s">
        <v>41</v>
      </c>
      <c r="E89" s="9" t="s">
        <v>39</v>
      </c>
      <c r="F89" s="30">
        <v>16813</v>
      </c>
      <c r="G89" s="31">
        <v>2769108</v>
      </c>
      <c r="H89" s="22">
        <v>45981</v>
      </c>
      <c r="I89" s="22">
        <v>46374</v>
      </c>
      <c r="J89" s="9" t="str" cm="1">
        <f t="array" aca="1" ref="J89" ca="1">_xlfn.IFS(Table2[[#This Row],[End Date]]-Dashboard!$Z$4&gt;30, "Active",Table2[[#This Row],[End Date]]-Dashboard!$Z$4&gt;0,"Expiring Soon",Table2[[#This Row],[End Date]]-Dashboard!$Z$4&lt;=0,"Expired")</f>
        <v>Active</v>
      </c>
      <c r="K89" s="10">
        <f ca="1">IF(Table2[[#This Row],[End Date]]-Dashboard!$Z$4&lt;=0,"Expired",Table2[[#This Row],[End Date]]-Dashboard!$Z$4)</f>
        <v>227</v>
      </c>
      <c r="L89" s="13" t="s">
        <v>46</v>
      </c>
      <c r="M89" s="10">
        <v>2</v>
      </c>
      <c r="N89" s="9" t="str" cm="1">
        <f t="array" ref="N89">_xlfn.IFS(Table2[[#This Row],[Claims Count]]&gt;=3,"High",Table2[[#This Row],[Claims Count]]&gt;=1,"Medium",Table2[[#This Row],[Claims Count]]=0,"None")</f>
        <v>Medium</v>
      </c>
      <c r="O89" s="9" cm="1">
        <f t="array" ref="O89">(_xlfn.IFS(Table2[[#This Row],[Risk Level ]]="High",3,Table2[[#This Row],[Risk Level ]]="Medium",2,Table2[[#This Row],[Risk Level ]]="Low",1))+(_xlfn.IFS(Table2[[#This Row],[ Claims Frequency ]]="High",3,Table2[[#This Row],[ Claims Frequency ]]="Medium",1,Table2[[#This Row],[ Claims Frequency ]]="None",0))</f>
        <v>3</v>
      </c>
      <c r="P89" s="24" t="str" cm="1">
        <f t="array" ref="P89">_xlfn.IFS(Table2[[#This Row],[Final Risk Score ]]&gt;=5,"High",Table2[[#This Row],[Final Risk Score ]]&gt;=3,"Medium",Table2[[#This Row],[Final Risk Score ]]&lt;=2,"Low")</f>
        <v>Medium</v>
      </c>
      <c r="R89"/>
      <c r="S89"/>
      <c r="T89"/>
      <c r="U89"/>
    </row>
    <row r="90" spans="1:21" x14ac:dyDescent="0.25">
      <c r="A90" s="9" t="s">
        <v>135</v>
      </c>
      <c r="B90" s="13" t="s">
        <v>51</v>
      </c>
      <c r="C90" s="9" t="s">
        <v>15</v>
      </c>
      <c r="D90" s="9" t="s">
        <v>54</v>
      </c>
      <c r="E90" s="9" t="s">
        <v>23</v>
      </c>
      <c r="F90" s="30">
        <v>32827</v>
      </c>
      <c r="G90" s="31">
        <v>7680554</v>
      </c>
      <c r="H90" s="22">
        <v>45954</v>
      </c>
      <c r="I90" s="22">
        <v>46122</v>
      </c>
      <c r="J90" s="9" t="str" cm="1">
        <f t="array" aca="1" ref="J90" ca="1">_xlfn.IFS(Table2[[#This Row],[End Date]]-Dashboard!$Z$4&gt;30, "Active",Table2[[#This Row],[End Date]]-Dashboard!$Z$4&gt;0,"Expiring Soon",Table2[[#This Row],[End Date]]-Dashboard!$Z$4&lt;=0,"Expired")</f>
        <v>Expired</v>
      </c>
      <c r="K90" s="10" t="str">
        <f ca="1">IF(Table2[[#This Row],[End Date]]-Dashboard!$Z$4&lt;=0,"Expired",Table2[[#This Row],[End Date]]-Dashboard!$Z$4)</f>
        <v>Expired</v>
      </c>
      <c r="L90" s="13" t="s">
        <v>11</v>
      </c>
      <c r="M90" s="10">
        <v>0</v>
      </c>
      <c r="N90" s="9" t="str" cm="1">
        <f t="array" ref="N90">_xlfn.IFS(Table2[[#This Row],[Claims Count]]&gt;=3,"High",Table2[[#This Row],[Claims Count]]&gt;=1,"Medium",Table2[[#This Row],[Claims Count]]=0,"None")</f>
        <v>None</v>
      </c>
      <c r="O90" s="9" cm="1">
        <f t="array" ref="O90">(_xlfn.IFS(Table2[[#This Row],[Risk Level ]]="High",3,Table2[[#This Row],[Risk Level ]]="Medium",2,Table2[[#This Row],[Risk Level ]]="Low",1))+(_xlfn.IFS(Table2[[#This Row],[ Claims Frequency ]]="High",3,Table2[[#This Row],[ Claims Frequency ]]="Medium",1,Table2[[#This Row],[ Claims Frequency ]]="None",0))</f>
        <v>1</v>
      </c>
      <c r="P90" s="24" t="str" cm="1">
        <f t="array" ref="P90">_xlfn.IFS(Table2[[#This Row],[Final Risk Score ]]&gt;=5,"High",Table2[[#This Row],[Final Risk Score ]]&gt;=3,"Medium",Table2[[#This Row],[Final Risk Score ]]&lt;=2,"Low")</f>
        <v>Low</v>
      </c>
      <c r="R90"/>
      <c r="S90"/>
      <c r="T90"/>
      <c r="U90"/>
    </row>
    <row r="91" spans="1:21" x14ac:dyDescent="0.25">
      <c r="A91" s="9" t="s">
        <v>136</v>
      </c>
      <c r="B91" s="13" t="s">
        <v>51</v>
      </c>
      <c r="C91" s="9" t="s">
        <v>21</v>
      </c>
      <c r="D91" s="9" t="s">
        <v>48</v>
      </c>
      <c r="E91" s="9" t="s">
        <v>17</v>
      </c>
      <c r="F91" s="30">
        <v>37140</v>
      </c>
      <c r="G91" s="31">
        <v>4413927</v>
      </c>
      <c r="H91" s="22">
        <v>45669</v>
      </c>
      <c r="I91" s="22">
        <v>46100</v>
      </c>
      <c r="J91" s="9" t="str" cm="1">
        <f t="array" aca="1" ref="J91" ca="1">_xlfn.IFS(Table2[[#This Row],[End Date]]-Dashboard!$Z$4&gt;30, "Active",Table2[[#This Row],[End Date]]-Dashboard!$Z$4&gt;0,"Expiring Soon",Table2[[#This Row],[End Date]]-Dashboard!$Z$4&lt;=0,"Expired")</f>
        <v>Expired</v>
      </c>
      <c r="K91" s="10" t="str">
        <f ca="1">IF(Table2[[#This Row],[End Date]]-Dashboard!$Z$4&lt;=0,"Expired",Table2[[#This Row],[End Date]]-Dashboard!$Z$4)</f>
        <v>Expired</v>
      </c>
      <c r="L91" s="13" t="s">
        <v>11</v>
      </c>
      <c r="M91" s="10">
        <v>0</v>
      </c>
      <c r="N91" s="9" t="str" cm="1">
        <f t="array" ref="N91">_xlfn.IFS(Table2[[#This Row],[Claims Count]]&gt;=3,"High",Table2[[#This Row],[Claims Count]]&gt;=1,"Medium",Table2[[#This Row],[Claims Count]]=0,"None")</f>
        <v>None</v>
      </c>
      <c r="O91" s="9" cm="1">
        <f t="array" ref="O91">(_xlfn.IFS(Table2[[#This Row],[Risk Level ]]="High",3,Table2[[#This Row],[Risk Level ]]="Medium",2,Table2[[#This Row],[Risk Level ]]="Low",1))+(_xlfn.IFS(Table2[[#This Row],[ Claims Frequency ]]="High",3,Table2[[#This Row],[ Claims Frequency ]]="Medium",1,Table2[[#This Row],[ Claims Frequency ]]="None",0))</f>
        <v>1</v>
      </c>
      <c r="P91" s="24" t="str" cm="1">
        <f t="array" ref="P91">_xlfn.IFS(Table2[[#This Row],[Final Risk Score ]]&gt;=5,"High",Table2[[#This Row],[Final Risk Score ]]&gt;=3,"Medium",Table2[[#This Row],[Final Risk Score ]]&lt;=2,"Low")</f>
        <v>Low</v>
      </c>
      <c r="R91"/>
      <c r="S91"/>
      <c r="T91"/>
      <c r="U91"/>
    </row>
    <row r="92" spans="1:21" x14ac:dyDescent="0.25">
      <c r="A92" s="9" t="s">
        <v>137</v>
      </c>
      <c r="B92" s="13" t="s">
        <v>56</v>
      </c>
      <c r="C92" s="9" t="s">
        <v>30</v>
      </c>
      <c r="D92" s="9" t="s">
        <v>16</v>
      </c>
      <c r="E92" s="9" t="s">
        <v>49</v>
      </c>
      <c r="F92" s="30">
        <v>12923</v>
      </c>
      <c r="G92" s="31">
        <v>3191472</v>
      </c>
      <c r="H92" s="22">
        <v>45878</v>
      </c>
      <c r="I92" s="22">
        <v>46204</v>
      </c>
      <c r="J92" s="9" t="str" cm="1">
        <f t="array" aca="1" ref="J92" ca="1">_xlfn.IFS(Table2[[#This Row],[End Date]]-Dashboard!$Z$4&gt;30, "Active",Table2[[#This Row],[End Date]]-Dashboard!$Z$4&gt;0,"Expiring Soon",Table2[[#This Row],[End Date]]-Dashboard!$Z$4&lt;=0,"Expired")</f>
        <v>Active</v>
      </c>
      <c r="K92" s="10">
        <f ca="1">IF(Table2[[#This Row],[End Date]]-Dashboard!$Z$4&lt;=0,"Expired",Table2[[#This Row],[End Date]]-Dashboard!$Z$4)</f>
        <v>57</v>
      </c>
      <c r="L92" s="13" t="s">
        <v>11</v>
      </c>
      <c r="M92" s="10">
        <v>0</v>
      </c>
      <c r="N92" s="9" t="str" cm="1">
        <f t="array" ref="N92">_xlfn.IFS(Table2[[#This Row],[Claims Count]]&gt;=3,"High",Table2[[#This Row],[Claims Count]]&gt;=1,"Medium",Table2[[#This Row],[Claims Count]]=0,"None")</f>
        <v>None</v>
      </c>
      <c r="O92" s="9" cm="1">
        <f t="array" ref="O92">(_xlfn.IFS(Table2[[#This Row],[Risk Level ]]="High",3,Table2[[#This Row],[Risk Level ]]="Medium",2,Table2[[#This Row],[Risk Level ]]="Low",1))+(_xlfn.IFS(Table2[[#This Row],[ Claims Frequency ]]="High",3,Table2[[#This Row],[ Claims Frequency ]]="Medium",1,Table2[[#This Row],[ Claims Frequency ]]="None",0))</f>
        <v>1</v>
      </c>
      <c r="P92" s="24" t="str" cm="1">
        <f t="array" ref="P92">_xlfn.IFS(Table2[[#This Row],[Final Risk Score ]]&gt;=5,"High",Table2[[#This Row],[Final Risk Score ]]&gt;=3,"Medium",Table2[[#This Row],[Final Risk Score ]]&lt;=2,"Low")</f>
        <v>Low</v>
      </c>
      <c r="R92"/>
      <c r="S92"/>
      <c r="T92"/>
      <c r="U92"/>
    </row>
    <row r="93" spans="1:21" x14ac:dyDescent="0.25">
      <c r="A93" s="9" t="s">
        <v>138</v>
      </c>
      <c r="B93" s="13" t="s">
        <v>33</v>
      </c>
      <c r="C93" s="9" t="s">
        <v>21</v>
      </c>
      <c r="D93" s="9" t="s">
        <v>16</v>
      </c>
      <c r="E93" s="9" t="s">
        <v>39</v>
      </c>
      <c r="F93" s="30">
        <v>36674</v>
      </c>
      <c r="G93" s="31">
        <v>2546565</v>
      </c>
      <c r="H93" s="22">
        <v>45667</v>
      </c>
      <c r="I93" s="22">
        <v>46281</v>
      </c>
      <c r="J93" s="9" t="str" cm="1">
        <f t="array" aca="1" ref="J93" ca="1">_xlfn.IFS(Table2[[#This Row],[End Date]]-Dashboard!$Z$4&gt;30, "Active",Table2[[#This Row],[End Date]]-Dashboard!$Z$4&gt;0,"Expiring Soon",Table2[[#This Row],[End Date]]-Dashboard!$Z$4&lt;=0,"Expired")</f>
        <v>Active</v>
      </c>
      <c r="K93" s="10">
        <f ca="1">IF(Table2[[#This Row],[End Date]]-Dashboard!$Z$4&lt;=0,"Expired",Table2[[#This Row],[End Date]]-Dashboard!$Z$4)</f>
        <v>134</v>
      </c>
      <c r="L93" s="13" t="s">
        <v>11</v>
      </c>
      <c r="M93" s="10">
        <v>2</v>
      </c>
      <c r="N93" s="9" t="str" cm="1">
        <f t="array" ref="N93">_xlfn.IFS(Table2[[#This Row],[Claims Count]]&gt;=3,"High",Table2[[#This Row],[Claims Count]]&gt;=1,"Medium",Table2[[#This Row],[Claims Count]]=0,"None")</f>
        <v>Medium</v>
      </c>
      <c r="O93" s="9" cm="1">
        <f t="array" ref="O93">(_xlfn.IFS(Table2[[#This Row],[Risk Level ]]="High",3,Table2[[#This Row],[Risk Level ]]="Medium",2,Table2[[#This Row],[Risk Level ]]="Low",1))+(_xlfn.IFS(Table2[[#This Row],[ Claims Frequency ]]="High",3,Table2[[#This Row],[ Claims Frequency ]]="Medium",1,Table2[[#This Row],[ Claims Frequency ]]="None",0))</f>
        <v>2</v>
      </c>
      <c r="P93" s="24" t="str" cm="1">
        <f t="array" ref="P93">_xlfn.IFS(Table2[[#This Row],[Final Risk Score ]]&gt;=5,"High",Table2[[#This Row],[Final Risk Score ]]&gt;=3,"Medium",Table2[[#This Row],[Final Risk Score ]]&lt;=2,"Low")</f>
        <v>Low</v>
      </c>
      <c r="R93"/>
      <c r="S93"/>
      <c r="T93"/>
      <c r="U93"/>
    </row>
    <row r="94" spans="1:21" x14ac:dyDescent="0.25">
      <c r="A94" s="9" t="s">
        <v>139</v>
      </c>
      <c r="B94" s="13" t="s">
        <v>25</v>
      </c>
      <c r="C94" s="9" t="s">
        <v>21</v>
      </c>
      <c r="D94" s="9" t="s">
        <v>34</v>
      </c>
      <c r="E94" s="9" t="s">
        <v>23</v>
      </c>
      <c r="F94" s="30">
        <v>38956</v>
      </c>
      <c r="G94" s="31">
        <v>1663688</v>
      </c>
      <c r="H94" s="22">
        <v>45843</v>
      </c>
      <c r="I94" s="22">
        <v>46164</v>
      </c>
      <c r="J94" s="9" t="str" cm="1">
        <f t="array" aca="1" ref="J94" ca="1">_xlfn.IFS(Table2[[#This Row],[End Date]]-Dashboard!$Z$4&gt;30, "Active",Table2[[#This Row],[End Date]]-Dashboard!$Z$4&gt;0,"Expiring Soon",Table2[[#This Row],[End Date]]-Dashboard!$Z$4&lt;=0,"Expired")</f>
        <v>Expiring Soon</v>
      </c>
      <c r="K94" s="10">
        <f ca="1">IF(Table2[[#This Row],[End Date]]-Dashboard!$Z$4&lt;=0,"Expired",Table2[[#This Row],[End Date]]-Dashboard!$Z$4)</f>
        <v>17</v>
      </c>
      <c r="L94" s="13" t="s">
        <v>46</v>
      </c>
      <c r="M94" s="10">
        <v>0</v>
      </c>
      <c r="N94" s="9" t="str" cm="1">
        <f t="array" ref="N94">_xlfn.IFS(Table2[[#This Row],[Claims Count]]&gt;=3,"High",Table2[[#This Row],[Claims Count]]&gt;=1,"Medium",Table2[[#This Row],[Claims Count]]=0,"None")</f>
        <v>None</v>
      </c>
      <c r="O94" s="9" cm="1">
        <f t="array" ref="O94">(_xlfn.IFS(Table2[[#This Row],[Risk Level ]]="High",3,Table2[[#This Row],[Risk Level ]]="Medium",2,Table2[[#This Row],[Risk Level ]]="Low",1))+(_xlfn.IFS(Table2[[#This Row],[ Claims Frequency ]]="High",3,Table2[[#This Row],[ Claims Frequency ]]="Medium",1,Table2[[#This Row],[ Claims Frequency ]]="None",0))</f>
        <v>2</v>
      </c>
      <c r="P94" s="24" t="str" cm="1">
        <f t="array" ref="P94">_xlfn.IFS(Table2[[#This Row],[Final Risk Score ]]&gt;=5,"High",Table2[[#This Row],[Final Risk Score ]]&gt;=3,"Medium",Table2[[#This Row],[Final Risk Score ]]&lt;=2,"Low")</f>
        <v>Low</v>
      </c>
      <c r="R94"/>
      <c r="S94"/>
      <c r="T94"/>
      <c r="U94"/>
    </row>
    <row r="95" spans="1:21" x14ac:dyDescent="0.25">
      <c r="A95" s="9" t="s">
        <v>140</v>
      </c>
      <c r="B95" s="13" t="s">
        <v>56</v>
      </c>
      <c r="C95" s="9" t="s">
        <v>30</v>
      </c>
      <c r="D95" s="9" t="s">
        <v>34</v>
      </c>
      <c r="E95" s="9" t="s">
        <v>49</v>
      </c>
      <c r="F95" s="30">
        <v>13759</v>
      </c>
      <c r="G95" s="31">
        <v>4841776</v>
      </c>
      <c r="H95" s="22">
        <v>46004</v>
      </c>
      <c r="I95" s="22">
        <v>46026</v>
      </c>
      <c r="J95" s="9" t="str" cm="1">
        <f t="array" aca="1" ref="J95" ca="1">_xlfn.IFS(Table2[[#This Row],[End Date]]-Dashboard!$Z$4&gt;30, "Active",Table2[[#This Row],[End Date]]-Dashboard!$Z$4&gt;0,"Expiring Soon",Table2[[#This Row],[End Date]]-Dashboard!$Z$4&lt;=0,"Expired")</f>
        <v>Expired</v>
      </c>
      <c r="K95" s="10" t="str">
        <f ca="1">IF(Table2[[#This Row],[End Date]]-Dashboard!$Z$4&lt;=0,"Expired",Table2[[#This Row],[End Date]]-Dashboard!$Z$4)</f>
        <v>Expired</v>
      </c>
      <c r="L95" s="13" t="s">
        <v>11</v>
      </c>
      <c r="M95" s="10">
        <v>1</v>
      </c>
      <c r="N95" s="9" t="str" cm="1">
        <f t="array" ref="N95">_xlfn.IFS(Table2[[#This Row],[Claims Count]]&gt;=3,"High",Table2[[#This Row],[Claims Count]]&gt;=1,"Medium",Table2[[#This Row],[Claims Count]]=0,"None")</f>
        <v>Medium</v>
      </c>
      <c r="O95" s="9" cm="1">
        <f t="array" ref="O95">(_xlfn.IFS(Table2[[#This Row],[Risk Level ]]="High",3,Table2[[#This Row],[Risk Level ]]="Medium",2,Table2[[#This Row],[Risk Level ]]="Low",1))+(_xlfn.IFS(Table2[[#This Row],[ Claims Frequency ]]="High",3,Table2[[#This Row],[ Claims Frequency ]]="Medium",1,Table2[[#This Row],[ Claims Frequency ]]="None",0))</f>
        <v>2</v>
      </c>
      <c r="P95" s="24" t="str" cm="1">
        <f t="array" ref="P95">_xlfn.IFS(Table2[[#This Row],[Final Risk Score ]]&gt;=5,"High",Table2[[#This Row],[Final Risk Score ]]&gt;=3,"Medium",Table2[[#This Row],[Final Risk Score ]]&lt;=2,"Low")</f>
        <v>Low</v>
      </c>
      <c r="R95"/>
      <c r="S95"/>
      <c r="T95"/>
      <c r="U95"/>
    </row>
    <row r="96" spans="1:21" x14ac:dyDescent="0.25">
      <c r="A96" s="9" t="s">
        <v>141</v>
      </c>
      <c r="B96" s="13" t="s">
        <v>63</v>
      </c>
      <c r="C96" s="9" t="s">
        <v>21</v>
      </c>
      <c r="D96" s="9" t="s">
        <v>22</v>
      </c>
      <c r="E96" s="9" t="s">
        <v>17</v>
      </c>
      <c r="F96" s="30">
        <v>28310</v>
      </c>
      <c r="G96" s="31">
        <v>7170415</v>
      </c>
      <c r="H96" s="22">
        <v>45946</v>
      </c>
      <c r="I96" s="22">
        <v>46330</v>
      </c>
      <c r="J96" s="9" t="str" cm="1">
        <f t="array" aca="1" ref="J96" ca="1">_xlfn.IFS(Table2[[#This Row],[End Date]]-Dashboard!$Z$4&gt;30, "Active",Table2[[#This Row],[End Date]]-Dashboard!$Z$4&gt;0,"Expiring Soon",Table2[[#This Row],[End Date]]-Dashboard!$Z$4&lt;=0,"Expired")</f>
        <v>Active</v>
      </c>
      <c r="K96" s="10">
        <f ca="1">IF(Table2[[#This Row],[End Date]]-Dashboard!$Z$4&lt;=0,"Expired",Table2[[#This Row],[End Date]]-Dashboard!$Z$4)</f>
        <v>183</v>
      </c>
      <c r="L96" s="13" t="s">
        <v>11</v>
      </c>
      <c r="M96" s="10">
        <v>2</v>
      </c>
      <c r="N96" s="9" t="str" cm="1">
        <f t="array" ref="N96">_xlfn.IFS(Table2[[#This Row],[Claims Count]]&gt;=3,"High",Table2[[#This Row],[Claims Count]]&gt;=1,"Medium",Table2[[#This Row],[Claims Count]]=0,"None")</f>
        <v>Medium</v>
      </c>
      <c r="O96" s="9" cm="1">
        <f t="array" ref="O96">(_xlfn.IFS(Table2[[#This Row],[Risk Level ]]="High",3,Table2[[#This Row],[Risk Level ]]="Medium",2,Table2[[#This Row],[Risk Level ]]="Low",1))+(_xlfn.IFS(Table2[[#This Row],[ Claims Frequency ]]="High",3,Table2[[#This Row],[ Claims Frequency ]]="Medium",1,Table2[[#This Row],[ Claims Frequency ]]="None",0))</f>
        <v>2</v>
      </c>
      <c r="P96" s="24" t="str" cm="1">
        <f t="array" ref="P96">_xlfn.IFS(Table2[[#This Row],[Final Risk Score ]]&gt;=5,"High",Table2[[#This Row],[Final Risk Score ]]&gt;=3,"Medium",Table2[[#This Row],[Final Risk Score ]]&lt;=2,"Low")</f>
        <v>Low</v>
      </c>
      <c r="R96"/>
      <c r="S96"/>
      <c r="T96"/>
      <c r="U96"/>
    </row>
    <row r="97" spans="1:21" x14ac:dyDescent="0.25">
      <c r="A97" s="9" t="s">
        <v>142</v>
      </c>
      <c r="B97" s="13" t="s">
        <v>75</v>
      </c>
      <c r="C97" s="9" t="s">
        <v>15</v>
      </c>
      <c r="D97" s="9" t="s">
        <v>54</v>
      </c>
      <c r="E97" s="9" t="s">
        <v>49</v>
      </c>
      <c r="F97" s="30">
        <v>13632</v>
      </c>
      <c r="G97" s="31">
        <v>2245041</v>
      </c>
      <c r="H97" s="22">
        <v>45753</v>
      </c>
      <c r="I97" s="22">
        <v>46032</v>
      </c>
      <c r="J97" s="9" t="str" cm="1">
        <f t="array" aca="1" ref="J97" ca="1">_xlfn.IFS(Table2[[#This Row],[End Date]]-Dashboard!$Z$4&gt;30, "Active",Table2[[#This Row],[End Date]]-Dashboard!$Z$4&gt;0,"Expiring Soon",Table2[[#This Row],[End Date]]-Dashboard!$Z$4&lt;=0,"Expired")</f>
        <v>Expired</v>
      </c>
      <c r="K97" s="10" t="str">
        <f ca="1">IF(Table2[[#This Row],[End Date]]-Dashboard!$Z$4&lt;=0,"Expired",Table2[[#This Row],[End Date]]-Dashboard!$Z$4)</f>
        <v>Expired</v>
      </c>
      <c r="L97" s="13" t="s">
        <v>11</v>
      </c>
      <c r="M97" s="10">
        <v>0</v>
      </c>
      <c r="N97" s="9" t="str" cm="1">
        <f t="array" ref="N97">_xlfn.IFS(Table2[[#This Row],[Claims Count]]&gt;=3,"High",Table2[[#This Row],[Claims Count]]&gt;=1,"Medium",Table2[[#This Row],[Claims Count]]=0,"None")</f>
        <v>None</v>
      </c>
      <c r="O97" s="9" cm="1">
        <f t="array" ref="O97">(_xlfn.IFS(Table2[[#This Row],[Risk Level ]]="High",3,Table2[[#This Row],[Risk Level ]]="Medium",2,Table2[[#This Row],[Risk Level ]]="Low",1))+(_xlfn.IFS(Table2[[#This Row],[ Claims Frequency ]]="High",3,Table2[[#This Row],[ Claims Frequency ]]="Medium",1,Table2[[#This Row],[ Claims Frequency ]]="None",0))</f>
        <v>1</v>
      </c>
      <c r="P97" s="24" t="str" cm="1">
        <f t="array" ref="P97">_xlfn.IFS(Table2[[#This Row],[Final Risk Score ]]&gt;=5,"High",Table2[[#This Row],[Final Risk Score ]]&gt;=3,"Medium",Table2[[#This Row],[Final Risk Score ]]&lt;=2,"Low")</f>
        <v>Low</v>
      </c>
      <c r="R97"/>
      <c r="S97"/>
      <c r="T97"/>
      <c r="U97"/>
    </row>
    <row r="98" spans="1:21" x14ac:dyDescent="0.25">
      <c r="A98" s="9" t="s">
        <v>143</v>
      </c>
      <c r="B98" s="13" t="s">
        <v>43</v>
      </c>
      <c r="C98" s="9" t="s">
        <v>15</v>
      </c>
      <c r="D98" s="9" t="s">
        <v>22</v>
      </c>
      <c r="E98" s="9" t="s">
        <v>17</v>
      </c>
      <c r="F98" s="30">
        <v>10745</v>
      </c>
      <c r="G98" s="31">
        <v>6225017</v>
      </c>
      <c r="H98" s="22">
        <v>45956</v>
      </c>
      <c r="I98" s="22">
        <v>46371</v>
      </c>
      <c r="J98" s="9" t="str" cm="1">
        <f t="array" aca="1" ref="J98" ca="1">_xlfn.IFS(Table2[[#This Row],[End Date]]-Dashboard!$Z$4&gt;30, "Active",Table2[[#This Row],[End Date]]-Dashboard!$Z$4&gt;0,"Expiring Soon",Table2[[#This Row],[End Date]]-Dashboard!$Z$4&lt;=0,"Expired")</f>
        <v>Active</v>
      </c>
      <c r="K98" s="10">
        <f ca="1">IF(Table2[[#This Row],[End Date]]-Dashboard!$Z$4&lt;=0,"Expired",Table2[[#This Row],[End Date]]-Dashboard!$Z$4)</f>
        <v>224</v>
      </c>
      <c r="L98" s="13" t="s">
        <v>46</v>
      </c>
      <c r="M98" s="10">
        <v>3</v>
      </c>
      <c r="N98" s="9" t="str" cm="1">
        <f t="array" ref="N98">_xlfn.IFS(Table2[[#This Row],[Claims Count]]&gt;=3,"High",Table2[[#This Row],[Claims Count]]&gt;=1,"Medium",Table2[[#This Row],[Claims Count]]=0,"None")</f>
        <v>High</v>
      </c>
      <c r="O98" s="9" cm="1">
        <f t="array" ref="O98">(_xlfn.IFS(Table2[[#This Row],[Risk Level ]]="High",3,Table2[[#This Row],[Risk Level ]]="Medium",2,Table2[[#This Row],[Risk Level ]]="Low",1))+(_xlfn.IFS(Table2[[#This Row],[ Claims Frequency ]]="High",3,Table2[[#This Row],[ Claims Frequency ]]="Medium",1,Table2[[#This Row],[ Claims Frequency ]]="None",0))</f>
        <v>5</v>
      </c>
      <c r="P98" s="24" t="str" cm="1">
        <f t="array" ref="P98">_xlfn.IFS(Table2[[#This Row],[Final Risk Score ]]&gt;=5,"High",Table2[[#This Row],[Final Risk Score ]]&gt;=3,"Medium",Table2[[#This Row],[Final Risk Score ]]&lt;=2,"Low")</f>
        <v>High</v>
      </c>
      <c r="R98"/>
      <c r="S98"/>
      <c r="T98"/>
      <c r="U98"/>
    </row>
    <row r="99" spans="1:21" x14ac:dyDescent="0.25">
      <c r="A99" s="9" t="s">
        <v>144</v>
      </c>
      <c r="B99" s="13" t="s">
        <v>33</v>
      </c>
      <c r="C99" s="9" t="s">
        <v>30</v>
      </c>
      <c r="D99" s="9" t="s">
        <v>26</v>
      </c>
      <c r="E99" s="9" t="s">
        <v>23</v>
      </c>
      <c r="F99" s="30">
        <v>8999</v>
      </c>
      <c r="G99" s="31">
        <v>7572488</v>
      </c>
      <c r="H99" s="22">
        <v>45976</v>
      </c>
      <c r="I99" s="22">
        <v>46330</v>
      </c>
      <c r="J99" s="9" t="str" cm="1">
        <f t="array" aca="1" ref="J99" ca="1">_xlfn.IFS(Table2[[#This Row],[End Date]]-Dashboard!$Z$4&gt;30, "Active",Table2[[#This Row],[End Date]]-Dashboard!$Z$4&gt;0,"Expiring Soon",Table2[[#This Row],[End Date]]-Dashboard!$Z$4&lt;=0,"Expired")</f>
        <v>Active</v>
      </c>
      <c r="K99" s="10">
        <f ca="1">IF(Table2[[#This Row],[End Date]]-Dashboard!$Z$4&lt;=0,"Expired",Table2[[#This Row],[End Date]]-Dashboard!$Z$4)</f>
        <v>183</v>
      </c>
      <c r="L99" s="13" t="s">
        <v>11</v>
      </c>
      <c r="M99" s="10">
        <v>3</v>
      </c>
      <c r="N99" s="9" t="str" cm="1">
        <f t="array" ref="N99">_xlfn.IFS(Table2[[#This Row],[Claims Count]]&gt;=3,"High",Table2[[#This Row],[Claims Count]]&gt;=1,"Medium",Table2[[#This Row],[Claims Count]]=0,"None")</f>
        <v>High</v>
      </c>
      <c r="O99" s="9" cm="1">
        <f t="array" ref="O99">(_xlfn.IFS(Table2[[#This Row],[Risk Level ]]="High",3,Table2[[#This Row],[Risk Level ]]="Medium",2,Table2[[#This Row],[Risk Level ]]="Low",1))+(_xlfn.IFS(Table2[[#This Row],[ Claims Frequency ]]="High",3,Table2[[#This Row],[ Claims Frequency ]]="Medium",1,Table2[[#This Row],[ Claims Frequency ]]="None",0))</f>
        <v>4</v>
      </c>
      <c r="P99" s="24" t="str" cm="1">
        <f t="array" ref="P99">_xlfn.IFS(Table2[[#This Row],[Final Risk Score ]]&gt;=5,"High",Table2[[#This Row],[Final Risk Score ]]&gt;=3,"Medium",Table2[[#This Row],[Final Risk Score ]]&lt;=2,"Low")</f>
        <v>Medium</v>
      </c>
      <c r="R99"/>
      <c r="S99"/>
      <c r="T99"/>
      <c r="U99"/>
    </row>
    <row r="100" spans="1:21" x14ac:dyDescent="0.25">
      <c r="A100" s="9" t="s">
        <v>146</v>
      </c>
      <c r="B100" s="13" t="s">
        <v>43</v>
      </c>
      <c r="C100" s="9" t="s">
        <v>37</v>
      </c>
      <c r="D100" s="9" t="s">
        <v>16</v>
      </c>
      <c r="E100" s="9" t="s">
        <v>49</v>
      </c>
      <c r="F100" s="30">
        <v>8438</v>
      </c>
      <c r="G100" s="31">
        <v>3600018</v>
      </c>
      <c r="H100" s="22">
        <v>45789</v>
      </c>
      <c r="I100" s="22">
        <v>46380</v>
      </c>
      <c r="J100" s="9" t="str" cm="1">
        <f t="array" aca="1" ref="J100" ca="1">_xlfn.IFS(Table2[[#This Row],[End Date]]-Dashboard!$Z$4&gt;30, "Active",Table2[[#This Row],[End Date]]-Dashboard!$Z$4&gt;0,"Expiring Soon",Table2[[#This Row],[End Date]]-Dashboard!$Z$4&lt;=0,"Expired")</f>
        <v>Active</v>
      </c>
      <c r="K100" s="10">
        <f ca="1">IF(Table2[[#This Row],[End Date]]-Dashboard!$Z$4&lt;=0,"Expired",Table2[[#This Row],[End Date]]-Dashboard!$Z$4)</f>
        <v>233</v>
      </c>
      <c r="L100" s="13" t="s">
        <v>18</v>
      </c>
      <c r="M100" s="10">
        <v>3</v>
      </c>
      <c r="N100" s="9" t="str" cm="1">
        <f t="array" ref="N100">_xlfn.IFS(Table2[[#This Row],[Claims Count]]&gt;=3,"High",Table2[[#This Row],[Claims Count]]&gt;=1,"Medium",Table2[[#This Row],[Claims Count]]=0,"None")</f>
        <v>High</v>
      </c>
      <c r="O100" s="9" cm="1">
        <f t="array" ref="O100">(_xlfn.IFS(Table2[[#This Row],[Risk Level ]]="High",3,Table2[[#This Row],[Risk Level ]]="Medium",2,Table2[[#This Row],[Risk Level ]]="Low",1))+(_xlfn.IFS(Table2[[#This Row],[ Claims Frequency ]]="High",3,Table2[[#This Row],[ Claims Frequency ]]="Medium",1,Table2[[#This Row],[ Claims Frequency ]]="None",0))</f>
        <v>6</v>
      </c>
      <c r="P100" s="24" t="str" cm="1">
        <f t="array" ref="P100">_xlfn.IFS(Table2[[#This Row],[Final Risk Score ]]&gt;=5,"High",Table2[[#This Row],[Final Risk Score ]]&gt;=3,"Medium",Table2[[#This Row],[Final Risk Score ]]&lt;=2,"Low")</f>
        <v>High</v>
      </c>
      <c r="R100"/>
      <c r="S100"/>
      <c r="T100"/>
      <c r="U100"/>
    </row>
    <row r="101" spans="1:21" x14ac:dyDescent="0.25">
      <c r="A101" s="9" t="s">
        <v>147</v>
      </c>
      <c r="B101" s="13" t="s">
        <v>103</v>
      </c>
      <c r="C101" s="9" t="s">
        <v>37</v>
      </c>
      <c r="D101" s="9" t="s">
        <v>31</v>
      </c>
      <c r="E101" s="9" t="s">
        <v>23</v>
      </c>
      <c r="F101" s="30">
        <v>20342</v>
      </c>
      <c r="G101" s="31">
        <v>8896903</v>
      </c>
      <c r="H101" s="22">
        <v>46014</v>
      </c>
      <c r="I101" s="22">
        <v>46217</v>
      </c>
      <c r="J101" s="9" t="str" cm="1">
        <f t="array" aca="1" ref="J101" ca="1">_xlfn.IFS(Table2[[#This Row],[End Date]]-Dashboard!$Z$4&gt;30, "Active",Table2[[#This Row],[End Date]]-Dashboard!$Z$4&gt;0,"Expiring Soon",Table2[[#This Row],[End Date]]-Dashboard!$Z$4&lt;=0,"Expired")</f>
        <v>Active</v>
      </c>
      <c r="K101" s="10">
        <f ca="1">IF(Table2[[#This Row],[End Date]]-Dashboard!$Z$4&lt;=0,"Expired",Table2[[#This Row],[End Date]]-Dashboard!$Z$4)</f>
        <v>70</v>
      </c>
      <c r="L101" s="13" t="s">
        <v>11</v>
      </c>
      <c r="M101" s="10">
        <v>4</v>
      </c>
      <c r="N101" s="9" t="str" cm="1">
        <f t="array" ref="N101">_xlfn.IFS(Table2[[#This Row],[Claims Count]]&gt;=3,"High",Table2[[#This Row],[Claims Count]]&gt;=1,"Medium",Table2[[#This Row],[Claims Count]]=0,"None")</f>
        <v>High</v>
      </c>
      <c r="O101" s="9" cm="1">
        <f t="array" ref="O101">(_xlfn.IFS(Table2[[#This Row],[Risk Level ]]="High",3,Table2[[#This Row],[Risk Level ]]="Medium",2,Table2[[#This Row],[Risk Level ]]="Low",1))+(_xlfn.IFS(Table2[[#This Row],[ Claims Frequency ]]="High",3,Table2[[#This Row],[ Claims Frequency ]]="Medium",1,Table2[[#This Row],[ Claims Frequency ]]="None",0))</f>
        <v>4</v>
      </c>
      <c r="P101" s="24" t="str" cm="1">
        <f t="array" ref="P101">_xlfn.IFS(Table2[[#This Row],[Final Risk Score ]]&gt;=5,"High",Table2[[#This Row],[Final Risk Score ]]&gt;=3,"Medium",Table2[[#This Row],[Final Risk Score ]]&lt;=2,"Low")</f>
        <v>Medium</v>
      </c>
      <c r="R101"/>
      <c r="S101"/>
      <c r="T101"/>
      <c r="U101"/>
    </row>
    <row r="102" spans="1:21" x14ac:dyDescent="0.25">
      <c r="A102" s="9" t="s">
        <v>148</v>
      </c>
      <c r="B102" s="13" t="s">
        <v>25</v>
      </c>
      <c r="C102" s="9" t="s">
        <v>37</v>
      </c>
      <c r="D102" s="9" t="s">
        <v>38</v>
      </c>
      <c r="E102" s="9" t="s">
        <v>49</v>
      </c>
      <c r="F102" s="30">
        <v>28427</v>
      </c>
      <c r="G102" s="31">
        <v>3267942</v>
      </c>
      <c r="H102" s="22">
        <v>45863</v>
      </c>
      <c r="I102" s="22">
        <v>46179</v>
      </c>
      <c r="J102" s="9" t="str" cm="1">
        <f t="array" aca="1" ref="J102" ca="1">_xlfn.IFS(Table2[[#This Row],[End Date]]-Dashboard!$Z$4&gt;30, "Active",Table2[[#This Row],[End Date]]-Dashboard!$Z$4&gt;0,"Expiring Soon",Table2[[#This Row],[End Date]]-Dashboard!$Z$4&lt;=0,"Expired")</f>
        <v>Active</v>
      </c>
      <c r="K102" s="10">
        <f ca="1">IF(Table2[[#This Row],[End Date]]-Dashboard!$Z$4&lt;=0,"Expired",Table2[[#This Row],[End Date]]-Dashboard!$Z$4)</f>
        <v>32</v>
      </c>
      <c r="L102" s="13" t="s">
        <v>11</v>
      </c>
      <c r="M102" s="10">
        <v>3</v>
      </c>
      <c r="N102" s="9" t="str" cm="1">
        <f t="array" ref="N102">_xlfn.IFS(Table2[[#This Row],[Claims Count]]&gt;=3,"High",Table2[[#This Row],[Claims Count]]&gt;=1,"Medium",Table2[[#This Row],[Claims Count]]=0,"None")</f>
        <v>High</v>
      </c>
      <c r="O102" s="9" cm="1">
        <f t="array" ref="O102">(_xlfn.IFS(Table2[[#This Row],[Risk Level ]]="High",3,Table2[[#This Row],[Risk Level ]]="Medium",2,Table2[[#This Row],[Risk Level ]]="Low",1))+(_xlfn.IFS(Table2[[#This Row],[ Claims Frequency ]]="High",3,Table2[[#This Row],[ Claims Frequency ]]="Medium",1,Table2[[#This Row],[ Claims Frequency ]]="None",0))</f>
        <v>4</v>
      </c>
      <c r="P102" s="24" t="str" cm="1">
        <f t="array" ref="P102">_xlfn.IFS(Table2[[#This Row],[Final Risk Score ]]&gt;=5,"High",Table2[[#This Row],[Final Risk Score ]]&gt;=3,"Medium",Table2[[#This Row],[Final Risk Score ]]&lt;=2,"Low")</f>
        <v>Medium</v>
      </c>
      <c r="R102"/>
      <c r="S102"/>
      <c r="T102"/>
      <c r="U102"/>
    </row>
    <row r="103" spans="1:21" x14ac:dyDescent="0.25">
      <c r="A103" s="9" t="s">
        <v>149</v>
      </c>
      <c r="B103" s="13" t="s">
        <v>103</v>
      </c>
      <c r="C103" s="9" t="s">
        <v>30</v>
      </c>
      <c r="D103" s="9" t="s">
        <v>57</v>
      </c>
      <c r="E103" s="9" t="s">
        <v>27</v>
      </c>
      <c r="F103" s="30">
        <v>24129</v>
      </c>
      <c r="G103" s="31">
        <v>8461314</v>
      </c>
      <c r="H103" s="22">
        <v>45891</v>
      </c>
      <c r="I103" s="22">
        <v>46128</v>
      </c>
      <c r="J103" s="9" t="str" cm="1">
        <f t="array" aca="1" ref="J103" ca="1">_xlfn.IFS(Table2[[#This Row],[End Date]]-Dashboard!$Z$4&gt;30, "Active",Table2[[#This Row],[End Date]]-Dashboard!$Z$4&gt;0,"Expiring Soon",Table2[[#This Row],[End Date]]-Dashboard!$Z$4&lt;=0,"Expired")</f>
        <v>Expired</v>
      </c>
      <c r="K103" s="10" t="str">
        <f ca="1">IF(Table2[[#This Row],[End Date]]-Dashboard!$Z$4&lt;=0,"Expired",Table2[[#This Row],[End Date]]-Dashboard!$Z$4)</f>
        <v>Expired</v>
      </c>
      <c r="L103" s="13" t="s">
        <v>18</v>
      </c>
      <c r="M103" s="10">
        <v>6</v>
      </c>
      <c r="N103" s="9" t="str" cm="1">
        <f t="array" ref="N103">_xlfn.IFS(Table2[[#This Row],[Claims Count]]&gt;=3,"High",Table2[[#This Row],[Claims Count]]&gt;=1,"Medium",Table2[[#This Row],[Claims Count]]=0,"None")</f>
        <v>High</v>
      </c>
      <c r="O103" s="9" cm="1">
        <f t="array" ref="O103">(_xlfn.IFS(Table2[[#This Row],[Risk Level ]]="High",3,Table2[[#This Row],[Risk Level ]]="Medium",2,Table2[[#This Row],[Risk Level ]]="Low",1))+(_xlfn.IFS(Table2[[#This Row],[ Claims Frequency ]]="High",3,Table2[[#This Row],[ Claims Frequency ]]="Medium",1,Table2[[#This Row],[ Claims Frequency ]]="None",0))</f>
        <v>6</v>
      </c>
      <c r="P103" s="24" t="str" cm="1">
        <f t="array" ref="P103">_xlfn.IFS(Table2[[#This Row],[Final Risk Score ]]&gt;=5,"High",Table2[[#This Row],[Final Risk Score ]]&gt;=3,"Medium",Table2[[#This Row],[Final Risk Score ]]&lt;=2,"Low")</f>
        <v>High</v>
      </c>
      <c r="R103"/>
      <c r="S103"/>
      <c r="T103"/>
      <c r="U103"/>
    </row>
    <row r="104" spans="1:21" x14ac:dyDescent="0.25">
      <c r="A104" s="9" t="s">
        <v>150</v>
      </c>
      <c r="B104" s="13" t="s">
        <v>56</v>
      </c>
      <c r="C104" s="9" t="s">
        <v>37</v>
      </c>
      <c r="D104" s="9" t="s">
        <v>26</v>
      </c>
      <c r="E104" s="9" t="s">
        <v>39</v>
      </c>
      <c r="F104" s="30">
        <v>36803</v>
      </c>
      <c r="G104" s="31">
        <v>6126952</v>
      </c>
      <c r="H104" s="22">
        <v>45789</v>
      </c>
      <c r="I104" s="22">
        <v>46086</v>
      </c>
      <c r="J104" s="9" t="str" cm="1">
        <f t="array" aca="1" ref="J104" ca="1">_xlfn.IFS(Table2[[#This Row],[End Date]]-Dashboard!$Z$4&gt;30, "Active",Table2[[#This Row],[End Date]]-Dashboard!$Z$4&gt;0,"Expiring Soon",Table2[[#This Row],[End Date]]-Dashboard!$Z$4&lt;=0,"Expired")</f>
        <v>Expired</v>
      </c>
      <c r="K104" s="10" t="str">
        <f ca="1">IF(Table2[[#This Row],[End Date]]-Dashboard!$Z$4&lt;=0,"Expired",Table2[[#This Row],[End Date]]-Dashboard!$Z$4)</f>
        <v>Expired</v>
      </c>
      <c r="L104" s="13" t="s">
        <v>11</v>
      </c>
      <c r="M104" s="10">
        <v>0</v>
      </c>
      <c r="N104" s="9" t="str" cm="1">
        <f t="array" ref="N104">_xlfn.IFS(Table2[[#This Row],[Claims Count]]&gt;=3,"High",Table2[[#This Row],[Claims Count]]&gt;=1,"Medium",Table2[[#This Row],[Claims Count]]=0,"None")</f>
        <v>None</v>
      </c>
      <c r="O104" s="9" cm="1">
        <f t="array" ref="O104">(_xlfn.IFS(Table2[[#This Row],[Risk Level ]]="High",3,Table2[[#This Row],[Risk Level ]]="Medium",2,Table2[[#This Row],[Risk Level ]]="Low",1))+(_xlfn.IFS(Table2[[#This Row],[ Claims Frequency ]]="High",3,Table2[[#This Row],[ Claims Frequency ]]="Medium",1,Table2[[#This Row],[ Claims Frequency ]]="None",0))</f>
        <v>1</v>
      </c>
      <c r="P104" s="24" t="str" cm="1">
        <f t="array" ref="P104">_xlfn.IFS(Table2[[#This Row],[Final Risk Score ]]&gt;=5,"High",Table2[[#This Row],[Final Risk Score ]]&gt;=3,"Medium",Table2[[#This Row],[Final Risk Score ]]&lt;=2,"Low")</f>
        <v>Low</v>
      </c>
      <c r="R104"/>
      <c r="S104"/>
      <c r="T104"/>
      <c r="U104"/>
    </row>
    <row r="105" spans="1:21" x14ac:dyDescent="0.25">
      <c r="A105" s="9" t="s">
        <v>151</v>
      </c>
      <c r="B105" s="13" t="s">
        <v>59</v>
      </c>
      <c r="C105" s="9" t="s">
        <v>30</v>
      </c>
      <c r="D105" s="9" t="s">
        <v>16</v>
      </c>
      <c r="E105" s="9" t="s">
        <v>23</v>
      </c>
      <c r="F105" s="30">
        <v>24792</v>
      </c>
      <c r="G105" s="31">
        <v>5638186</v>
      </c>
      <c r="H105" s="22">
        <v>45855</v>
      </c>
      <c r="I105" s="22">
        <v>46327</v>
      </c>
      <c r="J105" s="9" t="str" cm="1">
        <f t="array" aca="1" ref="J105" ca="1">_xlfn.IFS(Table2[[#This Row],[End Date]]-Dashboard!$Z$4&gt;30, "Active",Table2[[#This Row],[End Date]]-Dashboard!$Z$4&gt;0,"Expiring Soon",Table2[[#This Row],[End Date]]-Dashboard!$Z$4&lt;=0,"Expired")</f>
        <v>Active</v>
      </c>
      <c r="K105" s="10">
        <f ca="1">IF(Table2[[#This Row],[End Date]]-Dashboard!$Z$4&lt;=0,"Expired",Table2[[#This Row],[End Date]]-Dashboard!$Z$4)</f>
        <v>180</v>
      </c>
      <c r="L105" s="13" t="s">
        <v>18</v>
      </c>
      <c r="M105" s="10">
        <v>4</v>
      </c>
      <c r="N105" s="9" t="str" cm="1">
        <f t="array" ref="N105">_xlfn.IFS(Table2[[#This Row],[Claims Count]]&gt;=3,"High",Table2[[#This Row],[Claims Count]]&gt;=1,"Medium",Table2[[#This Row],[Claims Count]]=0,"None")</f>
        <v>High</v>
      </c>
      <c r="O105" s="9" cm="1">
        <f t="array" ref="O105">(_xlfn.IFS(Table2[[#This Row],[Risk Level ]]="High",3,Table2[[#This Row],[Risk Level ]]="Medium",2,Table2[[#This Row],[Risk Level ]]="Low",1))+(_xlfn.IFS(Table2[[#This Row],[ Claims Frequency ]]="High",3,Table2[[#This Row],[ Claims Frequency ]]="Medium",1,Table2[[#This Row],[ Claims Frequency ]]="None",0))</f>
        <v>6</v>
      </c>
      <c r="P105" s="24" t="str" cm="1">
        <f t="array" ref="P105">_xlfn.IFS(Table2[[#This Row],[Final Risk Score ]]&gt;=5,"High",Table2[[#This Row],[Final Risk Score ]]&gt;=3,"Medium",Table2[[#This Row],[Final Risk Score ]]&lt;=2,"Low")</f>
        <v>High</v>
      </c>
      <c r="R105"/>
      <c r="S105"/>
      <c r="T105"/>
      <c r="U105"/>
    </row>
    <row r="106" spans="1:21" x14ac:dyDescent="0.25">
      <c r="A106" s="9" t="s">
        <v>152</v>
      </c>
      <c r="B106" s="13" t="s">
        <v>45</v>
      </c>
      <c r="C106" s="9" t="s">
        <v>37</v>
      </c>
      <c r="D106" s="9" t="s">
        <v>34</v>
      </c>
      <c r="E106" s="9" t="s">
        <v>23</v>
      </c>
      <c r="F106" s="30">
        <v>13587</v>
      </c>
      <c r="G106" s="31">
        <v>1057304</v>
      </c>
      <c r="H106" s="22">
        <v>45683</v>
      </c>
      <c r="I106" s="22">
        <v>46308</v>
      </c>
      <c r="J106" s="9" t="str" cm="1">
        <f t="array" aca="1" ref="J106" ca="1">_xlfn.IFS(Table2[[#This Row],[End Date]]-Dashboard!$Z$4&gt;30, "Active",Table2[[#This Row],[End Date]]-Dashboard!$Z$4&gt;0,"Expiring Soon",Table2[[#This Row],[End Date]]-Dashboard!$Z$4&lt;=0,"Expired")</f>
        <v>Active</v>
      </c>
      <c r="K106" s="10">
        <f ca="1">IF(Table2[[#This Row],[End Date]]-Dashboard!$Z$4&lt;=0,"Expired",Table2[[#This Row],[End Date]]-Dashboard!$Z$4)</f>
        <v>161</v>
      </c>
      <c r="L106" s="13" t="s">
        <v>46</v>
      </c>
      <c r="M106" s="10">
        <v>3</v>
      </c>
      <c r="N106" s="9" t="str" cm="1">
        <f t="array" ref="N106">_xlfn.IFS(Table2[[#This Row],[Claims Count]]&gt;=3,"High",Table2[[#This Row],[Claims Count]]&gt;=1,"Medium",Table2[[#This Row],[Claims Count]]=0,"None")</f>
        <v>High</v>
      </c>
      <c r="O106" s="9" cm="1">
        <f t="array" ref="O106">(_xlfn.IFS(Table2[[#This Row],[Risk Level ]]="High",3,Table2[[#This Row],[Risk Level ]]="Medium",2,Table2[[#This Row],[Risk Level ]]="Low",1))+(_xlfn.IFS(Table2[[#This Row],[ Claims Frequency ]]="High",3,Table2[[#This Row],[ Claims Frequency ]]="Medium",1,Table2[[#This Row],[ Claims Frequency ]]="None",0))</f>
        <v>5</v>
      </c>
      <c r="P106" s="24" t="str" cm="1">
        <f t="array" ref="P106">_xlfn.IFS(Table2[[#This Row],[Final Risk Score ]]&gt;=5,"High",Table2[[#This Row],[Final Risk Score ]]&gt;=3,"Medium",Table2[[#This Row],[Final Risk Score ]]&lt;=2,"Low")</f>
        <v>High</v>
      </c>
      <c r="R106"/>
      <c r="S106"/>
      <c r="T106"/>
      <c r="U106"/>
    </row>
    <row r="107" spans="1:21" x14ac:dyDescent="0.25">
      <c r="A107" s="9" t="s">
        <v>153</v>
      </c>
      <c r="B107" s="13" t="s">
        <v>25</v>
      </c>
      <c r="C107" s="9" t="s">
        <v>21</v>
      </c>
      <c r="D107" s="9" t="s">
        <v>34</v>
      </c>
      <c r="E107" s="9" t="s">
        <v>17</v>
      </c>
      <c r="F107" s="30">
        <v>32753</v>
      </c>
      <c r="G107" s="31">
        <v>5723241</v>
      </c>
      <c r="H107" s="22">
        <v>45765</v>
      </c>
      <c r="I107" s="22">
        <v>46230</v>
      </c>
      <c r="J107" s="9" t="str" cm="1">
        <f t="array" aca="1" ref="J107" ca="1">_xlfn.IFS(Table2[[#This Row],[End Date]]-Dashboard!$Z$4&gt;30, "Active",Table2[[#This Row],[End Date]]-Dashboard!$Z$4&gt;0,"Expiring Soon",Table2[[#This Row],[End Date]]-Dashboard!$Z$4&lt;=0,"Expired")</f>
        <v>Active</v>
      </c>
      <c r="K107" s="10">
        <f ca="1">IF(Table2[[#This Row],[End Date]]-Dashboard!$Z$4&lt;=0,"Expired",Table2[[#This Row],[End Date]]-Dashboard!$Z$4)</f>
        <v>83</v>
      </c>
      <c r="L107" s="13" t="s">
        <v>46</v>
      </c>
      <c r="M107" s="10">
        <v>6</v>
      </c>
      <c r="N107" s="9" t="str" cm="1">
        <f t="array" ref="N107">_xlfn.IFS(Table2[[#This Row],[Claims Count]]&gt;=3,"High",Table2[[#This Row],[Claims Count]]&gt;=1,"Medium",Table2[[#This Row],[Claims Count]]=0,"None")</f>
        <v>High</v>
      </c>
      <c r="O107" s="9" cm="1">
        <f t="array" ref="O107">(_xlfn.IFS(Table2[[#This Row],[Risk Level ]]="High",3,Table2[[#This Row],[Risk Level ]]="Medium",2,Table2[[#This Row],[Risk Level ]]="Low",1))+(_xlfn.IFS(Table2[[#This Row],[ Claims Frequency ]]="High",3,Table2[[#This Row],[ Claims Frequency ]]="Medium",1,Table2[[#This Row],[ Claims Frequency ]]="None",0))</f>
        <v>5</v>
      </c>
      <c r="P107" s="24" t="str" cm="1">
        <f t="array" ref="P107">_xlfn.IFS(Table2[[#This Row],[Final Risk Score ]]&gt;=5,"High",Table2[[#This Row],[Final Risk Score ]]&gt;=3,"Medium",Table2[[#This Row],[Final Risk Score ]]&lt;=2,"Low")</f>
        <v>High</v>
      </c>
      <c r="R107"/>
      <c r="S107"/>
      <c r="T107"/>
      <c r="U107"/>
    </row>
    <row r="108" spans="1:21" x14ac:dyDescent="0.25">
      <c r="A108" s="9" t="s">
        <v>154</v>
      </c>
      <c r="B108" s="13" t="s">
        <v>43</v>
      </c>
      <c r="C108" s="9" t="s">
        <v>37</v>
      </c>
      <c r="D108" s="9" t="s">
        <v>26</v>
      </c>
      <c r="E108" s="9" t="s">
        <v>49</v>
      </c>
      <c r="F108" s="30">
        <v>37141</v>
      </c>
      <c r="G108" s="31">
        <v>5941942</v>
      </c>
      <c r="H108" s="22">
        <v>45858</v>
      </c>
      <c r="I108" s="22">
        <v>46307</v>
      </c>
      <c r="J108" s="9" t="str" cm="1">
        <f t="array" aca="1" ref="J108" ca="1">_xlfn.IFS(Table2[[#This Row],[End Date]]-Dashboard!$Z$4&gt;30, "Active",Table2[[#This Row],[End Date]]-Dashboard!$Z$4&gt;0,"Expiring Soon",Table2[[#This Row],[End Date]]-Dashboard!$Z$4&lt;=0,"Expired")</f>
        <v>Active</v>
      </c>
      <c r="K108" s="10">
        <f ca="1">IF(Table2[[#This Row],[End Date]]-Dashboard!$Z$4&lt;=0,"Expired",Table2[[#This Row],[End Date]]-Dashboard!$Z$4)</f>
        <v>160</v>
      </c>
      <c r="L108" s="13" t="s">
        <v>46</v>
      </c>
      <c r="M108" s="10">
        <v>4</v>
      </c>
      <c r="N108" s="9" t="str" cm="1">
        <f t="array" ref="N108">_xlfn.IFS(Table2[[#This Row],[Claims Count]]&gt;=3,"High",Table2[[#This Row],[Claims Count]]&gt;=1,"Medium",Table2[[#This Row],[Claims Count]]=0,"None")</f>
        <v>High</v>
      </c>
      <c r="O108" s="9" cm="1">
        <f t="array" ref="O108">(_xlfn.IFS(Table2[[#This Row],[Risk Level ]]="High",3,Table2[[#This Row],[Risk Level ]]="Medium",2,Table2[[#This Row],[Risk Level ]]="Low",1))+(_xlfn.IFS(Table2[[#This Row],[ Claims Frequency ]]="High",3,Table2[[#This Row],[ Claims Frequency ]]="Medium",1,Table2[[#This Row],[ Claims Frequency ]]="None",0))</f>
        <v>5</v>
      </c>
      <c r="P108" s="24" t="str" cm="1">
        <f t="array" ref="P108">_xlfn.IFS(Table2[[#This Row],[Final Risk Score ]]&gt;=5,"High",Table2[[#This Row],[Final Risk Score ]]&gt;=3,"Medium",Table2[[#This Row],[Final Risk Score ]]&lt;=2,"Low")</f>
        <v>High</v>
      </c>
      <c r="R108"/>
      <c r="S108"/>
      <c r="T108"/>
      <c r="U108"/>
    </row>
    <row r="109" spans="1:21" x14ac:dyDescent="0.25">
      <c r="A109" s="9" t="s">
        <v>155</v>
      </c>
      <c r="B109" s="13" t="s">
        <v>45</v>
      </c>
      <c r="C109" s="9" t="s">
        <v>15</v>
      </c>
      <c r="D109" s="9" t="s">
        <v>16</v>
      </c>
      <c r="E109" s="9" t="s">
        <v>39</v>
      </c>
      <c r="F109" s="30">
        <v>21154</v>
      </c>
      <c r="G109" s="31">
        <v>9131522</v>
      </c>
      <c r="H109" s="22">
        <v>45832</v>
      </c>
      <c r="I109" s="22">
        <v>46109</v>
      </c>
      <c r="J109" s="9" t="str" cm="1">
        <f t="array" aca="1" ref="J109" ca="1">_xlfn.IFS(Table2[[#This Row],[End Date]]-Dashboard!$Z$4&gt;30, "Active",Table2[[#This Row],[End Date]]-Dashboard!$Z$4&gt;0,"Expiring Soon",Table2[[#This Row],[End Date]]-Dashboard!$Z$4&lt;=0,"Expired")</f>
        <v>Expired</v>
      </c>
      <c r="K109" s="10" t="str">
        <f ca="1">IF(Table2[[#This Row],[End Date]]-Dashboard!$Z$4&lt;=0,"Expired",Table2[[#This Row],[End Date]]-Dashboard!$Z$4)</f>
        <v>Expired</v>
      </c>
      <c r="L109" s="13" t="s">
        <v>46</v>
      </c>
      <c r="M109" s="10">
        <v>2</v>
      </c>
      <c r="N109" s="9" t="str" cm="1">
        <f t="array" ref="N109">_xlfn.IFS(Table2[[#This Row],[Claims Count]]&gt;=3,"High",Table2[[#This Row],[Claims Count]]&gt;=1,"Medium",Table2[[#This Row],[Claims Count]]=0,"None")</f>
        <v>Medium</v>
      </c>
      <c r="O109" s="9" cm="1">
        <f t="array" ref="O109">(_xlfn.IFS(Table2[[#This Row],[Risk Level ]]="High",3,Table2[[#This Row],[Risk Level ]]="Medium",2,Table2[[#This Row],[Risk Level ]]="Low",1))+(_xlfn.IFS(Table2[[#This Row],[ Claims Frequency ]]="High",3,Table2[[#This Row],[ Claims Frequency ]]="Medium",1,Table2[[#This Row],[ Claims Frequency ]]="None",0))</f>
        <v>3</v>
      </c>
      <c r="P109" s="24" t="str" cm="1">
        <f t="array" ref="P109">_xlfn.IFS(Table2[[#This Row],[Final Risk Score ]]&gt;=5,"High",Table2[[#This Row],[Final Risk Score ]]&gt;=3,"Medium",Table2[[#This Row],[Final Risk Score ]]&lt;=2,"Low")</f>
        <v>Medium</v>
      </c>
      <c r="R109"/>
      <c r="S109"/>
      <c r="T109"/>
      <c r="U109"/>
    </row>
    <row r="110" spans="1:21" x14ac:dyDescent="0.25">
      <c r="A110" s="9" t="s">
        <v>156</v>
      </c>
      <c r="B110" s="13" t="s">
        <v>145</v>
      </c>
      <c r="C110" s="9" t="s">
        <v>21</v>
      </c>
      <c r="D110" s="9" t="s">
        <v>34</v>
      </c>
      <c r="E110" s="9" t="s">
        <v>49</v>
      </c>
      <c r="F110" s="30">
        <v>31151</v>
      </c>
      <c r="G110" s="31">
        <v>2642744</v>
      </c>
      <c r="H110" s="22">
        <v>45956</v>
      </c>
      <c r="I110" s="22">
        <v>46120</v>
      </c>
      <c r="J110" s="9" t="str" cm="1">
        <f t="array" aca="1" ref="J110" ca="1">_xlfn.IFS(Table2[[#This Row],[End Date]]-Dashboard!$Z$4&gt;30, "Active",Table2[[#This Row],[End Date]]-Dashboard!$Z$4&gt;0,"Expiring Soon",Table2[[#This Row],[End Date]]-Dashboard!$Z$4&lt;=0,"Expired")</f>
        <v>Expired</v>
      </c>
      <c r="K110" s="10" t="str">
        <f ca="1">IF(Table2[[#This Row],[End Date]]-Dashboard!$Z$4&lt;=0,"Expired",Table2[[#This Row],[End Date]]-Dashboard!$Z$4)</f>
        <v>Expired</v>
      </c>
      <c r="L110" s="13" t="s">
        <v>18</v>
      </c>
      <c r="M110" s="10">
        <v>0</v>
      </c>
      <c r="N110" s="9" t="str" cm="1">
        <f t="array" ref="N110">_xlfn.IFS(Table2[[#This Row],[Claims Count]]&gt;=3,"High",Table2[[#This Row],[Claims Count]]&gt;=1,"Medium",Table2[[#This Row],[Claims Count]]=0,"None")</f>
        <v>None</v>
      </c>
      <c r="O110" s="9" cm="1">
        <f t="array" ref="O110">(_xlfn.IFS(Table2[[#This Row],[Risk Level ]]="High",3,Table2[[#This Row],[Risk Level ]]="Medium",2,Table2[[#This Row],[Risk Level ]]="Low",1))+(_xlfn.IFS(Table2[[#This Row],[ Claims Frequency ]]="High",3,Table2[[#This Row],[ Claims Frequency ]]="Medium",1,Table2[[#This Row],[ Claims Frequency ]]="None",0))</f>
        <v>3</v>
      </c>
      <c r="P110" s="24" t="str" cm="1">
        <f t="array" ref="P110">_xlfn.IFS(Table2[[#This Row],[Final Risk Score ]]&gt;=5,"High",Table2[[#This Row],[Final Risk Score ]]&gt;=3,"Medium",Table2[[#This Row],[Final Risk Score ]]&lt;=2,"Low")</f>
        <v>Medium</v>
      </c>
      <c r="R110"/>
      <c r="S110"/>
      <c r="T110"/>
      <c r="U110"/>
    </row>
    <row r="111" spans="1:21" x14ac:dyDescent="0.25">
      <c r="A111" s="9" t="s">
        <v>157</v>
      </c>
      <c r="B111" s="13" t="s">
        <v>29</v>
      </c>
      <c r="C111" s="9" t="s">
        <v>30</v>
      </c>
      <c r="D111" s="9" t="s">
        <v>48</v>
      </c>
      <c r="E111" s="9" t="s">
        <v>27</v>
      </c>
      <c r="F111" s="30">
        <v>25257</v>
      </c>
      <c r="G111" s="31">
        <v>4292136</v>
      </c>
      <c r="H111" s="22">
        <v>45834</v>
      </c>
      <c r="I111" s="22">
        <v>46320</v>
      </c>
      <c r="J111" s="9" t="str" cm="1">
        <f t="array" aca="1" ref="J111" ca="1">_xlfn.IFS(Table2[[#This Row],[End Date]]-Dashboard!$Z$4&gt;30, "Active",Table2[[#This Row],[End Date]]-Dashboard!$Z$4&gt;0,"Expiring Soon",Table2[[#This Row],[End Date]]-Dashboard!$Z$4&lt;=0,"Expired")</f>
        <v>Active</v>
      </c>
      <c r="K111" s="10">
        <f ca="1">IF(Table2[[#This Row],[End Date]]-Dashboard!$Z$4&lt;=0,"Expired",Table2[[#This Row],[End Date]]-Dashboard!$Z$4)</f>
        <v>173</v>
      </c>
      <c r="L111" s="13" t="s">
        <v>11</v>
      </c>
      <c r="M111" s="10">
        <v>2</v>
      </c>
      <c r="N111" s="9" t="str" cm="1">
        <f t="array" ref="N111">_xlfn.IFS(Table2[[#This Row],[Claims Count]]&gt;=3,"High",Table2[[#This Row],[Claims Count]]&gt;=1,"Medium",Table2[[#This Row],[Claims Count]]=0,"None")</f>
        <v>Medium</v>
      </c>
      <c r="O111" s="9" cm="1">
        <f t="array" ref="O111">(_xlfn.IFS(Table2[[#This Row],[Risk Level ]]="High",3,Table2[[#This Row],[Risk Level ]]="Medium",2,Table2[[#This Row],[Risk Level ]]="Low",1))+(_xlfn.IFS(Table2[[#This Row],[ Claims Frequency ]]="High",3,Table2[[#This Row],[ Claims Frequency ]]="Medium",1,Table2[[#This Row],[ Claims Frequency ]]="None",0))</f>
        <v>2</v>
      </c>
      <c r="P111" s="24" t="str" cm="1">
        <f t="array" ref="P111">_xlfn.IFS(Table2[[#This Row],[Final Risk Score ]]&gt;=5,"High",Table2[[#This Row],[Final Risk Score ]]&gt;=3,"Medium",Table2[[#This Row],[Final Risk Score ]]&lt;=2,"Low")</f>
        <v>Low</v>
      </c>
      <c r="R111"/>
      <c r="S111"/>
      <c r="T111"/>
      <c r="U111"/>
    </row>
    <row r="112" spans="1:21" x14ac:dyDescent="0.25">
      <c r="A112" s="9" t="s">
        <v>158</v>
      </c>
      <c r="B112" s="13" t="s">
        <v>36</v>
      </c>
      <c r="C112" s="9" t="s">
        <v>21</v>
      </c>
      <c r="D112" s="9" t="s">
        <v>22</v>
      </c>
      <c r="E112" s="9" t="s">
        <v>39</v>
      </c>
      <c r="F112" s="30">
        <v>25127</v>
      </c>
      <c r="G112" s="31">
        <v>2156321</v>
      </c>
      <c r="H112" s="22">
        <v>45702</v>
      </c>
      <c r="I112" s="22">
        <v>46362</v>
      </c>
      <c r="J112" s="9" t="str" cm="1">
        <f t="array" aca="1" ref="J112" ca="1">_xlfn.IFS(Table2[[#This Row],[End Date]]-Dashboard!$Z$4&gt;30, "Active",Table2[[#This Row],[End Date]]-Dashboard!$Z$4&gt;0,"Expiring Soon",Table2[[#This Row],[End Date]]-Dashboard!$Z$4&lt;=0,"Expired")</f>
        <v>Active</v>
      </c>
      <c r="K112" s="10">
        <f ca="1">IF(Table2[[#This Row],[End Date]]-Dashboard!$Z$4&lt;=0,"Expired",Table2[[#This Row],[End Date]]-Dashboard!$Z$4)</f>
        <v>215</v>
      </c>
      <c r="L112" s="13" t="s">
        <v>46</v>
      </c>
      <c r="M112" s="10">
        <v>1</v>
      </c>
      <c r="N112" s="9" t="str" cm="1">
        <f t="array" ref="N112">_xlfn.IFS(Table2[[#This Row],[Claims Count]]&gt;=3,"High",Table2[[#This Row],[Claims Count]]&gt;=1,"Medium",Table2[[#This Row],[Claims Count]]=0,"None")</f>
        <v>Medium</v>
      </c>
      <c r="O112" s="9" cm="1">
        <f t="array" ref="O112">(_xlfn.IFS(Table2[[#This Row],[Risk Level ]]="High",3,Table2[[#This Row],[Risk Level ]]="Medium",2,Table2[[#This Row],[Risk Level ]]="Low",1))+(_xlfn.IFS(Table2[[#This Row],[ Claims Frequency ]]="High",3,Table2[[#This Row],[ Claims Frequency ]]="Medium",1,Table2[[#This Row],[ Claims Frequency ]]="None",0))</f>
        <v>3</v>
      </c>
      <c r="P112" s="24" t="str" cm="1">
        <f t="array" ref="P112">_xlfn.IFS(Table2[[#This Row],[Final Risk Score ]]&gt;=5,"High",Table2[[#This Row],[Final Risk Score ]]&gt;=3,"Medium",Table2[[#This Row],[Final Risk Score ]]&lt;=2,"Low")</f>
        <v>Medium</v>
      </c>
      <c r="R112"/>
      <c r="S112"/>
      <c r="T112"/>
      <c r="U112"/>
    </row>
    <row r="113" spans="1:21" x14ac:dyDescent="0.25">
      <c r="A113" s="9" t="s">
        <v>159</v>
      </c>
      <c r="B113" s="13" t="s">
        <v>25</v>
      </c>
      <c r="C113" s="9" t="s">
        <v>21</v>
      </c>
      <c r="D113" s="9" t="s">
        <v>16</v>
      </c>
      <c r="E113" s="9" t="s">
        <v>17</v>
      </c>
      <c r="F113" s="30">
        <v>23930</v>
      </c>
      <c r="G113" s="31">
        <v>3111383</v>
      </c>
      <c r="H113" s="22">
        <v>45678</v>
      </c>
      <c r="I113" s="22">
        <v>46320</v>
      </c>
      <c r="J113" s="9" t="str" cm="1">
        <f t="array" aca="1" ref="J113" ca="1">_xlfn.IFS(Table2[[#This Row],[End Date]]-Dashboard!$Z$4&gt;30, "Active",Table2[[#This Row],[End Date]]-Dashboard!$Z$4&gt;0,"Expiring Soon",Table2[[#This Row],[End Date]]-Dashboard!$Z$4&lt;=0,"Expired")</f>
        <v>Active</v>
      </c>
      <c r="K113" s="10">
        <f ca="1">IF(Table2[[#This Row],[End Date]]-Dashboard!$Z$4&lt;=0,"Expired",Table2[[#This Row],[End Date]]-Dashboard!$Z$4)</f>
        <v>173</v>
      </c>
      <c r="L113" s="13" t="s">
        <v>11</v>
      </c>
      <c r="M113" s="10">
        <v>6</v>
      </c>
      <c r="N113" s="9" t="str" cm="1">
        <f t="array" ref="N113">_xlfn.IFS(Table2[[#This Row],[Claims Count]]&gt;=3,"High",Table2[[#This Row],[Claims Count]]&gt;=1,"Medium",Table2[[#This Row],[Claims Count]]=0,"None")</f>
        <v>High</v>
      </c>
      <c r="O113" s="9" cm="1">
        <f t="array" ref="O113">(_xlfn.IFS(Table2[[#This Row],[Risk Level ]]="High",3,Table2[[#This Row],[Risk Level ]]="Medium",2,Table2[[#This Row],[Risk Level ]]="Low",1))+(_xlfn.IFS(Table2[[#This Row],[ Claims Frequency ]]="High",3,Table2[[#This Row],[ Claims Frequency ]]="Medium",1,Table2[[#This Row],[ Claims Frequency ]]="None",0))</f>
        <v>4</v>
      </c>
      <c r="P113" s="24" t="str" cm="1">
        <f t="array" ref="P113">_xlfn.IFS(Table2[[#This Row],[Final Risk Score ]]&gt;=5,"High",Table2[[#This Row],[Final Risk Score ]]&gt;=3,"Medium",Table2[[#This Row],[Final Risk Score ]]&lt;=2,"Low")</f>
        <v>Medium</v>
      </c>
      <c r="R113"/>
      <c r="S113"/>
      <c r="T113"/>
      <c r="U113"/>
    </row>
    <row r="114" spans="1:21" x14ac:dyDescent="0.25">
      <c r="A114" s="9" t="s">
        <v>160</v>
      </c>
      <c r="B114" s="13" t="s">
        <v>20</v>
      </c>
      <c r="C114" s="9" t="s">
        <v>15</v>
      </c>
      <c r="D114" s="9" t="s">
        <v>41</v>
      </c>
      <c r="E114" s="9" t="s">
        <v>27</v>
      </c>
      <c r="F114" s="30">
        <v>20495</v>
      </c>
      <c r="G114" s="31">
        <v>6625684</v>
      </c>
      <c r="H114" s="22">
        <v>45709</v>
      </c>
      <c r="I114" s="22">
        <v>46106</v>
      </c>
      <c r="J114" s="9" t="str" cm="1">
        <f t="array" aca="1" ref="J114" ca="1">_xlfn.IFS(Table2[[#This Row],[End Date]]-Dashboard!$Z$4&gt;30, "Active",Table2[[#This Row],[End Date]]-Dashboard!$Z$4&gt;0,"Expiring Soon",Table2[[#This Row],[End Date]]-Dashboard!$Z$4&lt;=0,"Expired")</f>
        <v>Expired</v>
      </c>
      <c r="K114" s="10" t="str">
        <f ca="1">IF(Table2[[#This Row],[End Date]]-Dashboard!$Z$4&lt;=0,"Expired",Table2[[#This Row],[End Date]]-Dashboard!$Z$4)</f>
        <v>Expired</v>
      </c>
      <c r="L114" s="13" t="s">
        <v>46</v>
      </c>
      <c r="M114" s="10">
        <v>4</v>
      </c>
      <c r="N114" s="9" t="str" cm="1">
        <f t="array" ref="N114">_xlfn.IFS(Table2[[#This Row],[Claims Count]]&gt;=3,"High",Table2[[#This Row],[Claims Count]]&gt;=1,"Medium",Table2[[#This Row],[Claims Count]]=0,"None")</f>
        <v>High</v>
      </c>
      <c r="O114" s="9" cm="1">
        <f t="array" ref="O114">(_xlfn.IFS(Table2[[#This Row],[Risk Level ]]="High",3,Table2[[#This Row],[Risk Level ]]="Medium",2,Table2[[#This Row],[Risk Level ]]="Low",1))+(_xlfn.IFS(Table2[[#This Row],[ Claims Frequency ]]="High",3,Table2[[#This Row],[ Claims Frequency ]]="Medium",1,Table2[[#This Row],[ Claims Frequency ]]="None",0))</f>
        <v>5</v>
      </c>
      <c r="P114" s="24" t="str" cm="1">
        <f t="array" ref="P114">_xlfn.IFS(Table2[[#This Row],[Final Risk Score ]]&gt;=5,"High",Table2[[#This Row],[Final Risk Score ]]&gt;=3,"Medium",Table2[[#This Row],[Final Risk Score ]]&lt;=2,"Low")</f>
        <v>High</v>
      </c>
      <c r="R114"/>
      <c r="S114"/>
      <c r="T114"/>
      <c r="U114"/>
    </row>
    <row r="115" spans="1:21" x14ac:dyDescent="0.25">
      <c r="A115" s="9" t="s">
        <v>161</v>
      </c>
      <c r="B115" s="13" t="s">
        <v>59</v>
      </c>
      <c r="C115" s="9" t="s">
        <v>37</v>
      </c>
      <c r="D115" s="9" t="s">
        <v>26</v>
      </c>
      <c r="E115" s="9" t="s">
        <v>39</v>
      </c>
      <c r="F115" s="30">
        <v>11004</v>
      </c>
      <c r="G115" s="31">
        <v>2057594</v>
      </c>
      <c r="H115" s="22">
        <v>45973</v>
      </c>
      <c r="I115" s="22">
        <v>46208</v>
      </c>
      <c r="J115" s="9" t="str" cm="1">
        <f t="array" aca="1" ref="J115" ca="1">_xlfn.IFS(Table2[[#This Row],[End Date]]-Dashboard!$Z$4&gt;30, "Active",Table2[[#This Row],[End Date]]-Dashboard!$Z$4&gt;0,"Expiring Soon",Table2[[#This Row],[End Date]]-Dashboard!$Z$4&lt;=0,"Expired")</f>
        <v>Active</v>
      </c>
      <c r="K115" s="10">
        <f ca="1">IF(Table2[[#This Row],[End Date]]-Dashboard!$Z$4&lt;=0,"Expired",Table2[[#This Row],[End Date]]-Dashboard!$Z$4)</f>
        <v>61</v>
      </c>
      <c r="L115" s="13" t="s">
        <v>11</v>
      </c>
      <c r="M115" s="10">
        <v>1</v>
      </c>
      <c r="N115" s="9" t="str" cm="1">
        <f t="array" ref="N115">_xlfn.IFS(Table2[[#This Row],[Claims Count]]&gt;=3,"High",Table2[[#This Row],[Claims Count]]&gt;=1,"Medium",Table2[[#This Row],[Claims Count]]=0,"None")</f>
        <v>Medium</v>
      </c>
      <c r="O115" s="9" cm="1">
        <f t="array" ref="O115">(_xlfn.IFS(Table2[[#This Row],[Risk Level ]]="High",3,Table2[[#This Row],[Risk Level ]]="Medium",2,Table2[[#This Row],[Risk Level ]]="Low",1))+(_xlfn.IFS(Table2[[#This Row],[ Claims Frequency ]]="High",3,Table2[[#This Row],[ Claims Frequency ]]="Medium",1,Table2[[#This Row],[ Claims Frequency ]]="None",0))</f>
        <v>2</v>
      </c>
      <c r="P115" s="24" t="str" cm="1">
        <f t="array" ref="P115">_xlfn.IFS(Table2[[#This Row],[Final Risk Score ]]&gt;=5,"High",Table2[[#This Row],[Final Risk Score ]]&gt;=3,"Medium",Table2[[#This Row],[Final Risk Score ]]&lt;=2,"Low")</f>
        <v>Low</v>
      </c>
      <c r="R115"/>
      <c r="S115"/>
      <c r="T115"/>
      <c r="U115"/>
    </row>
    <row r="116" spans="1:21" x14ac:dyDescent="0.25">
      <c r="A116" s="9" t="s">
        <v>162</v>
      </c>
      <c r="B116" s="13" t="s">
        <v>73</v>
      </c>
      <c r="C116" s="9" t="s">
        <v>37</v>
      </c>
      <c r="D116" s="9" t="s">
        <v>41</v>
      </c>
      <c r="E116" s="9" t="s">
        <v>17</v>
      </c>
      <c r="F116" s="30">
        <v>13907</v>
      </c>
      <c r="G116" s="31">
        <v>963628</v>
      </c>
      <c r="H116" s="22">
        <v>45915</v>
      </c>
      <c r="I116" s="22">
        <v>46340</v>
      </c>
      <c r="J116" s="9" t="str" cm="1">
        <f t="array" aca="1" ref="J116" ca="1">_xlfn.IFS(Table2[[#This Row],[End Date]]-Dashboard!$Z$4&gt;30, "Active",Table2[[#This Row],[End Date]]-Dashboard!$Z$4&gt;0,"Expiring Soon",Table2[[#This Row],[End Date]]-Dashboard!$Z$4&lt;=0,"Expired")</f>
        <v>Active</v>
      </c>
      <c r="K116" s="10">
        <f ca="1">IF(Table2[[#This Row],[End Date]]-Dashboard!$Z$4&lt;=0,"Expired",Table2[[#This Row],[End Date]]-Dashboard!$Z$4)</f>
        <v>193</v>
      </c>
      <c r="L116" s="13" t="s">
        <v>46</v>
      </c>
      <c r="M116" s="10">
        <v>0</v>
      </c>
      <c r="N116" s="9" t="str" cm="1">
        <f t="array" ref="N116">_xlfn.IFS(Table2[[#This Row],[Claims Count]]&gt;=3,"High",Table2[[#This Row],[Claims Count]]&gt;=1,"Medium",Table2[[#This Row],[Claims Count]]=0,"None")</f>
        <v>None</v>
      </c>
      <c r="O116" s="9" cm="1">
        <f t="array" ref="O116">(_xlfn.IFS(Table2[[#This Row],[Risk Level ]]="High",3,Table2[[#This Row],[Risk Level ]]="Medium",2,Table2[[#This Row],[Risk Level ]]="Low",1))+(_xlfn.IFS(Table2[[#This Row],[ Claims Frequency ]]="High",3,Table2[[#This Row],[ Claims Frequency ]]="Medium",1,Table2[[#This Row],[ Claims Frequency ]]="None",0))</f>
        <v>2</v>
      </c>
      <c r="P116" s="24" t="str" cm="1">
        <f t="array" ref="P116">_xlfn.IFS(Table2[[#This Row],[Final Risk Score ]]&gt;=5,"High",Table2[[#This Row],[Final Risk Score ]]&gt;=3,"Medium",Table2[[#This Row],[Final Risk Score ]]&lt;=2,"Low")</f>
        <v>Low</v>
      </c>
      <c r="R116"/>
      <c r="S116"/>
      <c r="T116"/>
      <c r="U116"/>
    </row>
    <row r="117" spans="1:21" x14ac:dyDescent="0.25">
      <c r="A117" s="9" t="s">
        <v>163</v>
      </c>
      <c r="B117" s="13" t="s">
        <v>45</v>
      </c>
      <c r="C117" s="9" t="s">
        <v>37</v>
      </c>
      <c r="D117" s="9" t="s">
        <v>48</v>
      </c>
      <c r="E117" s="9" t="s">
        <v>49</v>
      </c>
      <c r="F117" s="30">
        <v>18103</v>
      </c>
      <c r="G117" s="31">
        <v>2485684</v>
      </c>
      <c r="H117" s="22">
        <v>45678</v>
      </c>
      <c r="I117" s="22">
        <v>46359</v>
      </c>
      <c r="J117" s="9" t="str" cm="1">
        <f t="array" aca="1" ref="J117" ca="1">_xlfn.IFS(Table2[[#This Row],[End Date]]-Dashboard!$Z$4&gt;30, "Active",Table2[[#This Row],[End Date]]-Dashboard!$Z$4&gt;0,"Expiring Soon",Table2[[#This Row],[End Date]]-Dashboard!$Z$4&lt;=0,"Expired")</f>
        <v>Active</v>
      </c>
      <c r="K117" s="10">
        <f ca="1">IF(Table2[[#This Row],[End Date]]-Dashboard!$Z$4&lt;=0,"Expired",Table2[[#This Row],[End Date]]-Dashboard!$Z$4)</f>
        <v>212</v>
      </c>
      <c r="L117" s="13" t="s">
        <v>11</v>
      </c>
      <c r="M117" s="10">
        <v>5</v>
      </c>
      <c r="N117" s="9" t="str" cm="1">
        <f t="array" ref="N117">_xlfn.IFS(Table2[[#This Row],[Claims Count]]&gt;=3,"High",Table2[[#This Row],[Claims Count]]&gt;=1,"Medium",Table2[[#This Row],[Claims Count]]=0,"None")</f>
        <v>High</v>
      </c>
      <c r="O117" s="9" cm="1">
        <f t="array" ref="O117">(_xlfn.IFS(Table2[[#This Row],[Risk Level ]]="High",3,Table2[[#This Row],[Risk Level ]]="Medium",2,Table2[[#This Row],[Risk Level ]]="Low",1))+(_xlfn.IFS(Table2[[#This Row],[ Claims Frequency ]]="High",3,Table2[[#This Row],[ Claims Frequency ]]="Medium",1,Table2[[#This Row],[ Claims Frequency ]]="None",0))</f>
        <v>4</v>
      </c>
      <c r="P117" s="24" t="str" cm="1">
        <f t="array" ref="P117">_xlfn.IFS(Table2[[#This Row],[Final Risk Score ]]&gt;=5,"High",Table2[[#This Row],[Final Risk Score ]]&gt;=3,"Medium",Table2[[#This Row],[Final Risk Score ]]&lt;=2,"Low")</f>
        <v>Medium</v>
      </c>
      <c r="R117"/>
      <c r="S117"/>
      <c r="T117"/>
      <c r="U117"/>
    </row>
    <row r="118" spans="1:21" x14ac:dyDescent="0.25">
      <c r="A118" s="9" t="s">
        <v>164</v>
      </c>
      <c r="B118" s="13" t="s">
        <v>77</v>
      </c>
      <c r="C118" s="9" t="s">
        <v>21</v>
      </c>
      <c r="D118" s="9" t="s">
        <v>57</v>
      </c>
      <c r="E118" s="9" t="s">
        <v>23</v>
      </c>
      <c r="F118" s="30">
        <v>15763</v>
      </c>
      <c r="G118" s="31">
        <v>6523793</v>
      </c>
      <c r="H118" s="22">
        <v>45918</v>
      </c>
      <c r="I118" s="22">
        <v>46248</v>
      </c>
      <c r="J118" s="9" t="str" cm="1">
        <f t="array" aca="1" ref="J118" ca="1">_xlfn.IFS(Table2[[#This Row],[End Date]]-Dashboard!$Z$4&gt;30, "Active",Table2[[#This Row],[End Date]]-Dashboard!$Z$4&gt;0,"Expiring Soon",Table2[[#This Row],[End Date]]-Dashboard!$Z$4&lt;=0,"Expired")</f>
        <v>Active</v>
      </c>
      <c r="K118" s="10">
        <f ca="1">IF(Table2[[#This Row],[End Date]]-Dashboard!$Z$4&lt;=0,"Expired",Table2[[#This Row],[End Date]]-Dashboard!$Z$4)</f>
        <v>101</v>
      </c>
      <c r="L118" s="13" t="s">
        <v>46</v>
      </c>
      <c r="M118" s="10">
        <v>2</v>
      </c>
      <c r="N118" s="9" t="str" cm="1">
        <f t="array" ref="N118">_xlfn.IFS(Table2[[#This Row],[Claims Count]]&gt;=3,"High",Table2[[#This Row],[Claims Count]]&gt;=1,"Medium",Table2[[#This Row],[Claims Count]]=0,"None")</f>
        <v>Medium</v>
      </c>
      <c r="O118" s="9" cm="1">
        <f t="array" ref="O118">(_xlfn.IFS(Table2[[#This Row],[Risk Level ]]="High",3,Table2[[#This Row],[Risk Level ]]="Medium",2,Table2[[#This Row],[Risk Level ]]="Low",1))+(_xlfn.IFS(Table2[[#This Row],[ Claims Frequency ]]="High",3,Table2[[#This Row],[ Claims Frequency ]]="Medium",1,Table2[[#This Row],[ Claims Frequency ]]="None",0))</f>
        <v>3</v>
      </c>
      <c r="P118" s="24" t="str" cm="1">
        <f t="array" ref="P118">_xlfn.IFS(Table2[[#This Row],[Final Risk Score ]]&gt;=5,"High",Table2[[#This Row],[Final Risk Score ]]&gt;=3,"Medium",Table2[[#This Row],[Final Risk Score ]]&lt;=2,"Low")</f>
        <v>Medium</v>
      </c>
      <c r="R118"/>
      <c r="S118"/>
      <c r="T118"/>
      <c r="U118"/>
    </row>
    <row r="119" spans="1:21" x14ac:dyDescent="0.25">
      <c r="A119" s="9" t="s">
        <v>165</v>
      </c>
      <c r="B119" s="13" t="s">
        <v>56</v>
      </c>
      <c r="C119" s="9" t="s">
        <v>30</v>
      </c>
      <c r="D119" s="9" t="s">
        <v>22</v>
      </c>
      <c r="E119" s="9" t="s">
        <v>27</v>
      </c>
      <c r="F119" s="30">
        <v>21004</v>
      </c>
      <c r="G119" s="31">
        <v>1895970</v>
      </c>
      <c r="H119" s="22">
        <v>45698</v>
      </c>
      <c r="I119" s="22">
        <v>46296</v>
      </c>
      <c r="J119" s="9" t="str" cm="1">
        <f t="array" aca="1" ref="J119" ca="1">_xlfn.IFS(Table2[[#This Row],[End Date]]-Dashboard!$Z$4&gt;30, "Active",Table2[[#This Row],[End Date]]-Dashboard!$Z$4&gt;0,"Expiring Soon",Table2[[#This Row],[End Date]]-Dashboard!$Z$4&lt;=0,"Expired")</f>
        <v>Active</v>
      </c>
      <c r="K119" s="10">
        <f ca="1">IF(Table2[[#This Row],[End Date]]-Dashboard!$Z$4&lt;=0,"Expired",Table2[[#This Row],[End Date]]-Dashboard!$Z$4)</f>
        <v>149</v>
      </c>
      <c r="L119" s="13" t="s">
        <v>11</v>
      </c>
      <c r="M119" s="10">
        <v>0</v>
      </c>
      <c r="N119" s="9" t="str" cm="1">
        <f t="array" ref="N119">_xlfn.IFS(Table2[[#This Row],[Claims Count]]&gt;=3,"High",Table2[[#This Row],[Claims Count]]&gt;=1,"Medium",Table2[[#This Row],[Claims Count]]=0,"None")</f>
        <v>None</v>
      </c>
      <c r="O119" s="9" cm="1">
        <f t="array" ref="O119">(_xlfn.IFS(Table2[[#This Row],[Risk Level ]]="High",3,Table2[[#This Row],[Risk Level ]]="Medium",2,Table2[[#This Row],[Risk Level ]]="Low",1))+(_xlfn.IFS(Table2[[#This Row],[ Claims Frequency ]]="High",3,Table2[[#This Row],[ Claims Frequency ]]="Medium",1,Table2[[#This Row],[ Claims Frequency ]]="None",0))</f>
        <v>1</v>
      </c>
      <c r="P119" s="24" t="str" cm="1">
        <f t="array" ref="P119">_xlfn.IFS(Table2[[#This Row],[Final Risk Score ]]&gt;=5,"High",Table2[[#This Row],[Final Risk Score ]]&gt;=3,"Medium",Table2[[#This Row],[Final Risk Score ]]&lt;=2,"Low")</f>
        <v>Low</v>
      </c>
      <c r="R119"/>
      <c r="S119"/>
      <c r="T119"/>
      <c r="U119"/>
    </row>
    <row r="120" spans="1:21" x14ac:dyDescent="0.25">
      <c r="A120" s="9" t="s">
        <v>166</v>
      </c>
      <c r="B120" s="13" t="s">
        <v>59</v>
      </c>
      <c r="C120" s="9" t="s">
        <v>37</v>
      </c>
      <c r="D120" s="9" t="s">
        <v>16</v>
      </c>
      <c r="E120" s="9" t="s">
        <v>49</v>
      </c>
      <c r="F120" s="30">
        <v>35437</v>
      </c>
      <c r="G120" s="31">
        <v>8069772</v>
      </c>
      <c r="H120" s="22">
        <v>45765</v>
      </c>
      <c r="I120" s="22">
        <v>46140</v>
      </c>
      <c r="J120" s="9" t="str" cm="1">
        <f t="array" aca="1" ref="J120" ca="1">_xlfn.IFS(Table2[[#This Row],[End Date]]-Dashboard!$Z$4&gt;30, "Active",Table2[[#This Row],[End Date]]-Dashboard!$Z$4&gt;0,"Expiring Soon",Table2[[#This Row],[End Date]]-Dashboard!$Z$4&lt;=0,"Expired")</f>
        <v>Expired</v>
      </c>
      <c r="K120" s="10" t="str">
        <f ca="1">IF(Table2[[#This Row],[End Date]]-Dashboard!$Z$4&lt;=0,"Expired",Table2[[#This Row],[End Date]]-Dashboard!$Z$4)</f>
        <v>Expired</v>
      </c>
      <c r="L120" s="13" t="s">
        <v>18</v>
      </c>
      <c r="M120" s="10">
        <v>1</v>
      </c>
      <c r="N120" s="9" t="str" cm="1">
        <f t="array" ref="N120">_xlfn.IFS(Table2[[#This Row],[Claims Count]]&gt;=3,"High",Table2[[#This Row],[Claims Count]]&gt;=1,"Medium",Table2[[#This Row],[Claims Count]]=0,"None")</f>
        <v>Medium</v>
      </c>
      <c r="O120" s="9" cm="1">
        <f t="array" ref="O120">(_xlfn.IFS(Table2[[#This Row],[Risk Level ]]="High",3,Table2[[#This Row],[Risk Level ]]="Medium",2,Table2[[#This Row],[Risk Level ]]="Low",1))+(_xlfn.IFS(Table2[[#This Row],[ Claims Frequency ]]="High",3,Table2[[#This Row],[ Claims Frequency ]]="Medium",1,Table2[[#This Row],[ Claims Frequency ]]="None",0))</f>
        <v>4</v>
      </c>
      <c r="P120" s="24" t="str" cm="1">
        <f t="array" ref="P120">_xlfn.IFS(Table2[[#This Row],[Final Risk Score ]]&gt;=5,"High",Table2[[#This Row],[Final Risk Score ]]&gt;=3,"Medium",Table2[[#This Row],[Final Risk Score ]]&lt;=2,"Low")</f>
        <v>Medium</v>
      </c>
      <c r="R120"/>
      <c r="S120"/>
      <c r="T120"/>
      <c r="U120"/>
    </row>
    <row r="121" spans="1:21" x14ac:dyDescent="0.25">
      <c r="A121" s="9" t="s">
        <v>167</v>
      </c>
      <c r="B121" s="13" t="s">
        <v>51</v>
      </c>
      <c r="C121" s="9" t="s">
        <v>21</v>
      </c>
      <c r="D121" s="9" t="s">
        <v>31</v>
      </c>
      <c r="E121" s="9" t="s">
        <v>49</v>
      </c>
      <c r="F121" s="30">
        <v>16682</v>
      </c>
      <c r="G121" s="31">
        <v>2658285</v>
      </c>
      <c r="H121" s="22">
        <v>45889</v>
      </c>
      <c r="I121" s="22">
        <v>46341</v>
      </c>
      <c r="J121" s="9" t="str" cm="1">
        <f t="array" aca="1" ref="J121" ca="1">_xlfn.IFS(Table2[[#This Row],[End Date]]-Dashboard!$Z$4&gt;30, "Active",Table2[[#This Row],[End Date]]-Dashboard!$Z$4&gt;0,"Expiring Soon",Table2[[#This Row],[End Date]]-Dashboard!$Z$4&lt;=0,"Expired")</f>
        <v>Active</v>
      </c>
      <c r="K121" s="10">
        <f ca="1">IF(Table2[[#This Row],[End Date]]-Dashboard!$Z$4&lt;=0,"Expired",Table2[[#This Row],[End Date]]-Dashboard!$Z$4)</f>
        <v>194</v>
      </c>
      <c r="L121" s="13" t="s">
        <v>46</v>
      </c>
      <c r="M121" s="10">
        <v>0</v>
      </c>
      <c r="N121" s="9" t="str" cm="1">
        <f t="array" ref="N121">_xlfn.IFS(Table2[[#This Row],[Claims Count]]&gt;=3,"High",Table2[[#This Row],[Claims Count]]&gt;=1,"Medium",Table2[[#This Row],[Claims Count]]=0,"None")</f>
        <v>None</v>
      </c>
      <c r="O121" s="9" cm="1">
        <f t="array" ref="O121">(_xlfn.IFS(Table2[[#This Row],[Risk Level ]]="High",3,Table2[[#This Row],[Risk Level ]]="Medium",2,Table2[[#This Row],[Risk Level ]]="Low",1))+(_xlfn.IFS(Table2[[#This Row],[ Claims Frequency ]]="High",3,Table2[[#This Row],[ Claims Frequency ]]="Medium",1,Table2[[#This Row],[ Claims Frequency ]]="None",0))</f>
        <v>2</v>
      </c>
      <c r="P121" s="24" t="str" cm="1">
        <f t="array" ref="P121">_xlfn.IFS(Table2[[#This Row],[Final Risk Score ]]&gt;=5,"High",Table2[[#This Row],[Final Risk Score ]]&gt;=3,"Medium",Table2[[#This Row],[Final Risk Score ]]&lt;=2,"Low")</f>
        <v>Low</v>
      </c>
      <c r="R121"/>
      <c r="S121"/>
      <c r="T121"/>
      <c r="U121"/>
    </row>
    <row r="122" spans="1:21" x14ac:dyDescent="0.25">
      <c r="A122" s="9" t="s">
        <v>168</v>
      </c>
      <c r="B122" s="13" t="s">
        <v>36</v>
      </c>
      <c r="C122" s="9" t="s">
        <v>21</v>
      </c>
      <c r="D122" s="9" t="s">
        <v>54</v>
      </c>
      <c r="E122" s="9" t="s">
        <v>39</v>
      </c>
      <c r="F122" s="30">
        <v>15897</v>
      </c>
      <c r="G122" s="31">
        <v>4092495</v>
      </c>
      <c r="H122" s="22">
        <v>45816</v>
      </c>
      <c r="I122" s="22">
        <v>46338</v>
      </c>
      <c r="J122" s="9" t="str" cm="1">
        <f t="array" aca="1" ref="J122" ca="1">_xlfn.IFS(Table2[[#This Row],[End Date]]-Dashboard!$Z$4&gt;30, "Active",Table2[[#This Row],[End Date]]-Dashboard!$Z$4&gt;0,"Expiring Soon",Table2[[#This Row],[End Date]]-Dashboard!$Z$4&lt;=0,"Expired")</f>
        <v>Active</v>
      </c>
      <c r="K122" s="10">
        <f ca="1">IF(Table2[[#This Row],[End Date]]-Dashboard!$Z$4&lt;=0,"Expired",Table2[[#This Row],[End Date]]-Dashboard!$Z$4)</f>
        <v>191</v>
      </c>
      <c r="L122" s="13" t="s">
        <v>18</v>
      </c>
      <c r="M122" s="10">
        <v>0</v>
      </c>
      <c r="N122" s="9" t="str" cm="1">
        <f t="array" ref="N122">_xlfn.IFS(Table2[[#This Row],[Claims Count]]&gt;=3,"High",Table2[[#This Row],[Claims Count]]&gt;=1,"Medium",Table2[[#This Row],[Claims Count]]=0,"None")</f>
        <v>None</v>
      </c>
      <c r="O122" s="9" cm="1">
        <f t="array" ref="O122">(_xlfn.IFS(Table2[[#This Row],[Risk Level ]]="High",3,Table2[[#This Row],[Risk Level ]]="Medium",2,Table2[[#This Row],[Risk Level ]]="Low",1))+(_xlfn.IFS(Table2[[#This Row],[ Claims Frequency ]]="High",3,Table2[[#This Row],[ Claims Frequency ]]="Medium",1,Table2[[#This Row],[ Claims Frequency ]]="None",0))</f>
        <v>3</v>
      </c>
      <c r="P122" s="24" t="str" cm="1">
        <f t="array" ref="P122">_xlfn.IFS(Table2[[#This Row],[Final Risk Score ]]&gt;=5,"High",Table2[[#This Row],[Final Risk Score ]]&gt;=3,"Medium",Table2[[#This Row],[Final Risk Score ]]&lt;=2,"Low")</f>
        <v>Medium</v>
      </c>
      <c r="R122"/>
      <c r="S122"/>
      <c r="T122"/>
      <c r="U122"/>
    </row>
    <row r="123" spans="1:21" x14ac:dyDescent="0.25">
      <c r="A123" s="9" t="s">
        <v>169</v>
      </c>
      <c r="B123" s="13" t="s">
        <v>45</v>
      </c>
      <c r="C123" s="9" t="s">
        <v>37</v>
      </c>
      <c r="D123" s="9" t="s">
        <v>57</v>
      </c>
      <c r="E123" s="9" t="s">
        <v>27</v>
      </c>
      <c r="F123" s="30">
        <v>36614</v>
      </c>
      <c r="G123" s="31">
        <v>6737975</v>
      </c>
      <c r="H123" s="22">
        <v>46014</v>
      </c>
      <c r="I123" s="22">
        <v>46096</v>
      </c>
      <c r="J123" s="9" t="str" cm="1">
        <f t="array" aca="1" ref="J123" ca="1">_xlfn.IFS(Table2[[#This Row],[End Date]]-Dashboard!$Z$4&gt;30, "Active",Table2[[#This Row],[End Date]]-Dashboard!$Z$4&gt;0,"Expiring Soon",Table2[[#This Row],[End Date]]-Dashboard!$Z$4&lt;=0,"Expired")</f>
        <v>Expired</v>
      </c>
      <c r="K123" s="10" t="str">
        <f ca="1">IF(Table2[[#This Row],[End Date]]-Dashboard!$Z$4&lt;=0,"Expired",Table2[[#This Row],[End Date]]-Dashboard!$Z$4)</f>
        <v>Expired</v>
      </c>
      <c r="L123" s="13" t="s">
        <v>46</v>
      </c>
      <c r="M123" s="10">
        <v>4</v>
      </c>
      <c r="N123" s="9" t="str" cm="1">
        <f t="array" ref="N123">_xlfn.IFS(Table2[[#This Row],[Claims Count]]&gt;=3,"High",Table2[[#This Row],[Claims Count]]&gt;=1,"Medium",Table2[[#This Row],[Claims Count]]=0,"None")</f>
        <v>High</v>
      </c>
      <c r="O123" s="9" cm="1">
        <f t="array" ref="O123">(_xlfn.IFS(Table2[[#This Row],[Risk Level ]]="High",3,Table2[[#This Row],[Risk Level ]]="Medium",2,Table2[[#This Row],[Risk Level ]]="Low",1))+(_xlfn.IFS(Table2[[#This Row],[ Claims Frequency ]]="High",3,Table2[[#This Row],[ Claims Frequency ]]="Medium",1,Table2[[#This Row],[ Claims Frequency ]]="None",0))</f>
        <v>5</v>
      </c>
      <c r="P123" s="24" t="str" cm="1">
        <f t="array" ref="P123">_xlfn.IFS(Table2[[#This Row],[Final Risk Score ]]&gt;=5,"High",Table2[[#This Row],[Final Risk Score ]]&gt;=3,"Medium",Table2[[#This Row],[Final Risk Score ]]&lt;=2,"Low")</f>
        <v>High</v>
      </c>
      <c r="R123"/>
      <c r="S123"/>
      <c r="T123"/>
      <c r="U123"/>
    </row>
    <row r="124" spans="1:21" x14ac:dyDescent="0.25">
      <c r="A124" s="9" t="s">
        <v>170</v>
      </c>
      <c r="B124" s="13" t="s">
        <v>77</v>
      </c>
      <c r="C124" s="9" t="s">
        <v>21</v>
      </c>
      <c r="D124" s="9" t="s">
        <v>16</v>
      </c>
      <c r="E124" s="9" t="s">
        <v>39</v>
      </c>
      <c r="F124" s="30">
        <v>14631</v>
      </c>
      <c r="G124" s="31">
        <v>9361431</v>
      </c>
      <c r="H124" s="22">
        <v>45663</v>
      </c>
      <c r="I124" s="22">
        <v>46151</v>
      </c>
      <c r="J124" s="9" t="str" cm="1">
        <f t="array" aca="1" ref="J124" ca="1">_xlfn.IFS(Table2[[#This Row],[End Date]]-Dashboard!$Z$4&gt;30, "Active",Table2[[#This Row],[End Date]]-Dashboard!$Z$4&gt;0,"Expiring Soon",Table2[[#This Row],[End Date]]-Dashboard!$Z$4&lt;=0,"Expired")</f>
        <v>Expiring Soon</v>
      </c>
      <c r="K124" s="10">
        <f ca="1">IF(Table2[[#This Row],[End Date]]-Dashboard!$Z$4&lt;=0,"Expired",Table2[[#This Row],[End Date]]-Dashboard!$Z$4)</f>
        <v>4</v>
      </c>
      <c r="L124" s="13" t="s">
        <v>46</v>
      </c>
      <c r="M124" s="10">
        <v>6</v>
      </c>
      <c r="N124" s="9" t="str" cm="1">
        <f t="array" ref="N124">_xlfn.IFS(Table2[[#This Row],[Claims Count]]&gt;=3,"High",Table2[[#This Row],[Claims Count]]&gt;=1,"Medium",Table2[[#This Row],[Claims Count]]=0,"None")</f>
        <v>High</v>
      </c>
      <c r="O124" s="9" cm="1">
        <f t="array" ref="O124">(_xlfn.IFS(Table2[[#This Row],[Risk Level ]]="High",3,Table2[[#This Row],[Risk Level ]]="Medium",2,Table2[[#This Row],[Risk Level ]]="Low",1))+(_xlfn.IFS(Table2[[#This Row],[ Claims Frequency ]]="High",3,Table2[[#This Row],[ Claims Frequency ]]="Medium",1,Table2[[#This Row],[ Claims Frequency ]]="None",0))</f>
        <v>5</v>
      </c>
      <c r="P124" s="24" t="str" cm="1">
        <f t="array" ref="P124">_xlfn.IFS(Table2[[#This Row],[Final Risk Score ]]&gt;=5,"High",Table2[[#This Row],[Final Risk Score ]]&gt;=3,"Medium",Table2[[#This Row],[Final Risk Score ]]&lt;=2,"Low")</f>
        <v>High</v>
      </c>
      <c r="R124"/>
      <c r="S124"/>
      <c r="T124"/>
      <c r="U124"/>
    </row>
    <row r="125" spans="1:21" x14ac:dyDescent="0.25">
      <c r="A125" s="9" t="s">
        <v>171</v>
      </c>
      <c r="B125" s="13" t="s">
        <v>145</v>
      </c>
      <c r="C125" s="9" t="s">
        <v>15</v>
      </c>
      <c r="D125" s="9" t="s">
        <v>57</v>
      </c>
      <c r="E125" s="9" t="s">
        <v>49</v>
      </c>
      <c r="F125" s="30">
        <v>11989</v>
      </c>
      <c r="G125" s="31">
        <v>1779005</v>
      </c>
      <c r="H125" s="22">
        <v>45972</v>
      </c>
      <c r="I125" s="22">
        <v>46065</v>
      </c>
      <c r="J125" s="9" t="str" cm="1">
        <f t="array" aca="1" ref="J125" ca="1">_xlfn.IFS(Table2[[#This Row],[End Date]]-Dashboard!$Z$4&gt;30, "Active",Table2[[#This Row],[End Date]]-Dashboard!$Z$4&gt;0,"Expiring Soon",Table2[[#This Row],[End Date]]-Dashboard!$Z$4&lt;=0,"Expired")</f>
        <v>Expired</v>
      </c>
      <c r="K125" s="10" t="str">
        <f ca="1">IF(Table2[[#This Row],[End Date]]-Dashboard!$Z$4&lt;=0,"Expired",Table2[[#This Row],[End Date]]-Dashboard!$Z$4)</f>
        <v>Expired</v>
      </c>
      <c r="L125" s="13" t="s">
        <v>46</v>
      </c>
      <c r="M125" s="10">
        <v>2</v>
      </c>
      <c r="N125" s="9" t="str" cm="1">
        <f t="array" ref="N125">_xlfn.IFS(Table2[[#This Row],[Claims Count]]&gt;=3,"High",Table2[[#This Row],[Claims Count]]&gt;=1,"Medium",Table2[[#This Row],[Claims Count]]=0,"None")</f>
        <v>Medium</v>
      </c>
      <c r="O125" s="9" cm="1">
        <f t="array" ref="O125">(_xlfn.IFS(Table2[[#This Row],[Risk Level ]]="High",3,Table2[[#This Row],[Risk Level ]]="Medium",2,Table2[[#This Row],[Risk Level ]]="Low",1))+(_xlfn.IFS(Table2[[#This Row],[ Claims Frequency ]]="High",3,Table2[[#This Row],[ Claims Frequency ]]="Medium",1,Table2[[#This Row],[ Claims Frequency ]]="None",0))</f>
        <v>3</v>
      </c>
      <c r="P125" s="24" t="str" cm="1">
        <f t="array" ref="P125">_xlfn.IFS(Table2[[#This Row],[Final Risk Score ]]&gt;=5,"High",Table2[[#This Row],[Final Risk Score ]]&gt;=3,"Medium",Table2[[#This Row],[Final Risk Score ]]&lt;=2,"Low")</f>
        <v>Medium</v>
      </c>
      <c r="R125"/>
      <c r="S125"/>
      <c r="T125"/>
      <c r="U125"/>
    </row>
    <row r="126" spans="1:21" x14ac:dyDescent="0.25">
      <c r="A126" s="9" t="s">
        <v>172</v>
      </c>
      <c r="B126" s="13" t="s">
        <v>43</v>
      </c>
      <c r="C126" s="9" t="s">
        <v>15</v>
      </c>
      <c r="D126" s="9" t="s">
        <v>54</v>
      </c>
      <c r="E126" s="9" t="s">
        <v>49</v>
      </c>
      <c r="F126" s="30">
        <v>26826</v>
      </c>
      <c r="G126" s="31">
        <v>1871085</v>
      </c>
      <c r="H126" s="22">
        <v>45743</v>
      </c>
      <c r="I126" s="22">
        <v>46087</v>
      </c>
      <c r="J126" s="9" t="str" cm="1">
        <f t="array" aca="1" ref="J126" ca="1">_xlfn.IFS(Table2[[#This Row],[End Date]]-Dashboard!$Z$4&gt;30, "Active",Table2[[#This Row],[End Date]]-Dashboard!$Z$4&gt;0,"Expiring Soon",Table2[[#This Row],[End Date]]-Dashboard!$Z$4&lt;=0,"Expired")</f>
        <v>Expired</v>
      </c>
      <c r="K126" s="10" t="str">
        <f ca="1">IF(Table2[[#This Row],[End Date]]-Dashboard!$Z$4&lt;=0,"Expired",Table2[[#This Row],[End Date]]-Dashboard!$Z$4)</f>
        <v>Expired</v>
      </c>
      <c r="L126" s="13" t="s">
        <v>46</v>
      </c>
      <c r="M126" s="10">
        <v>3</v>
      </c>
      <c r="N126" s="9" t="str" cm="1">
        <f t="array" ref="N126">_xlfn.IFS(Table2[[#This Row],[Claims Count]]&gt;=3,"High",Table2[[#This Row],[Claims Count]]&gt;=1,"Medium",Table2[[#This Row],[Claims Count]]=0,"None")</f>
        <v>High</v>
      </c>
      <c r="O126" s="9" cm="1">
        <f t="array" ref="O126">(_xlfn.IFS(Table2[[#This Row],[Risk Level ]]="High",3,Table2[[#This Row],[Risk Level ]]="Medium",2,Table2[[#This Row],[Risk Level ]]="Low",1))+(_xlfn.IFS(Table2[[#This Row],[ Claims Frequency ]]="High",3,Table2[[#This Row],[ Claims Frequency ]]="Medium",1,Table2[[#This Row],[ Claims Frequency ]]="None",0))</f>
        <v>5</v>
      </c>
      <c r="P126" s="24" t="str" cm="1">
        <f t="array" ref="P126">_xlfn.IFS(Table2[[#This Row],[Final Risk Score ]]&gt;=5,"High",Table2[[#This Row],[Final Risk Score ]]&gt;=3,"Medium",Table2[[#This Row],[Final Risk Score ]]&lt;=2,"Low")</f>
        <v>High</v>
      </c>
      <c r="R126"/>
      <c r="S126"/>
      <c r="T126"/>
      <c r="U126"/>
    </row>
    <row r="127" spans="1:21" x14ac:dyDescent="0.25">
      <c r="A127" s="9" t="s">
        <v>173</v>
      </c>
      <c r="B127" s="13" t="s">
        <v>56</v>
      </c>
      <c r="C127" s="9" t="s">
        <v>15</v>
      </c>
      <c r="D127" s="9" t="s">
        <v>16</v>
      </c>
      <c r="E127" s="9" t="s">
        <v>49</v>
      </c>
      <c r="F127" s="30">
        <v>11697</v>
      </c>
      <c r="G127" s="31">
        <v>8870146</v>
      </c>
      <c r="H127" s="22">
        <v>45999</v>
      </c>
      <c r="I127" s="22">
        <v>46092</v>
      </c>
      <c r="J127" s="9" t="str" cm="1">
        <f t="array" aca="1" ref="J127" ca="1">_xlfn.IFS(Table2[[#This Row],[End Date]]-Dashboard!$Z$4&gt;30, "Active",Table2[[#This Row],[End Date]]-Dashboard!$Z$4&gt;0,"Expiring Soon",Table2[[#This Row],[End Date]]-Dashboard!$Z$4&lt;=0,"Expired")</f>
        <v>Expired</v>
      </c>
      <c r="K127" s="10" t="str">
        <f ca="1">IF(Table2[[#This Row],[End Date]]-Dashboard!$Z$4&lt;=0,"Expired",Table2[[#This Row],[End Date]]-Dashboard!$Z$4)</f>
        <v>Expired</v>
      </c>
      <c r="L127" s="13" t="s">
        <v>11</v>
      </c>
      <c r="M127" s="10">
        <v>0</v>
      </c>
      <c r="N127" s="9" t="str" cm="1">
        <f t="array" ref="N127">_xlfn.IFS(Table2[[#This Row],[Claims Count]]&gt;=3,"High",Table2[[#This Row],[Claims Count]]&gt;=1,"Medium",Table2[[#This Row],[Claims Count]]=0,"None")</f>
        <v>None</v>
      </c>
      <c r="O127" s="9" cm="1">
        <f t="array" ref="O127">(_xlfn.IFS(Table2[[#This Row],[Risk Level ]]="High",3,Table2[[#This Row],[Risk Level ]]="Medium",2,Table2[[#This Row],[Risk Level ]]="Low",1))+(_xlfn.IFS(Table2[[#This Row],[ Claims Frequency ]]="High",3,Table2[[#This Row],[ Claims Frequency ]]="Medium",1,Table2[[#This Row],[ Claims Frequency ]]="None",0))</f>
        <v>1</v>
      </c>
      <c r="P127" s="24" t="str" cm="1">
        <f t="array" ref="P127">_xlfn.IFS(Table2[[#This Row],[Final Risk Score ]]&gt;=5,"High",Table2[[#This Row],[Final Risk Score ]]&gt;=3,"Medium",Table2[[#This Row],[Final Risk Score ]]&lt;=2,"Low")</f>
        <v>Low</v>
      </c>
      <c r="R127"/>
      <c r="S127"/>
      <c r="T127"/>
      <c r="U127"/>
    </row>
    <row r="128" spans="1:21" x14ac:dyDescent="0.25">
      <c r="A128" s="9" t="s">
        <v>174</v>
      </c>
      <c r="B128" s="13" t="s">
        <v>25</v>
      </c>
      <c r="C128" s="9" t="s">
        <v>37</v>
      </c>
      <c r="D128" s="9" t="s">
        <v>26</v>
      </c>
      <c r="E128" s="9" t="s">
        <v>17</v>
      </c>
      <c r="F128" s="30">
        <v>9523</v>
      </c>
      <c r="G128" s="31">
        <v>1747175</v>
      </c>
      <c r="H128" s="22">
        <v>45718</v>
      </c>
      <c r="I128" s="22">
        <v>46250</v>
      </c>
      <c r="J128" s="9" t="str" cm="1">
        <f t="array" aca="1" ref="J128" ca="1">_xlfn.IFS(Table2[[#This Row],[End Date]]-Dashboard!$Z$4&gt;30, "Active",Table2[[#This Row],[End Date]]-Dashboard!$Z$4&gt;0,"Expiring Soon",Table2[[#This Row],[End Date]]-Dashboard!$Z$4&lt;=0,"Expired")</f>
        <v>Active</v>
      </c>
      <c r="K128" s="10">
        <f ca="1">IF(Table2[[#This Row],[End Date]]-Dashboard!$Z$4&lt;=0,"Expired",Table2[[#This Row],[End Date]]-Dashboard!$Z$4)</f>
        <v>103</v>
      </c>
      <c r="L128" s="13" t="s">
        <v>46</v>
      </c>
      <c r="M128" s="10">
        <v>1</v>
      </c>
      <c r="N128" s="9" t="str" cm="1">
        <f t="array" ref="N128">_xlfn.IFS(Table2[[#This Row],[Claims Count]]&gt;=3,"High",Table2[[#This Row],[Claims Count]]&gt;=1,"Medium",Table2[[#This Row],[Claims Count]]=0,"None")</f>
        <v>Medium</v>
      </c>
      <c r="O128" s="9" cm="1">
        <f t="array" ref="O128">(_xlfn.IFS(Table2[[#This Row],[Risk Level ]]="High",3,Table2[[#This Row],[Risk Level ]]="Medium",2,Table2[[#This Row],[Risk Level ]]="Low",1))+(_xlfn.IFS(Table2[[#This Row],[ Claims Frequency ]]="High",3,Table2[[#This Row],[ Claims Frequency ]]="Medium",1,Table2[[#This Row],[ Claims Frequency ]]="None",0))</f>
        <v>3</v>
      </c>
      <c r="P128" s="24" t="str" cm="1">
        <f t="array" ref="P128">_xlfn.IFS(Table2[[#This Row],[Final Risk Score ]]&gt;=5,"High",Table2[[#This Row],[Final Risk Score ]]&gt;=3,"Medium",Table2[[#This Row],[Final Risk Score ]]&lt;=2,"Low")</f>
        <v>Medium</v>
      </c>
      <c r="R128"/>
      <c r="S128"/>
      <c r="T128"/>
      <c r="U128"/>
    </row>
    <row r="129" spans="1:21" x14ac:dyDescent="0.25">
      <c r="A129" s="9" t="s">
        <v>175</v>
      </c>
      <c r="B129" s="13" t="s">
        <v>85</v>
      </c>
      <c r="C129" s="9" t="s">
        <v>15</v>
      </c>
      <c r="D129" s="9" t="s">
        <v>34</v>
      </c>
      <c r="E129" s="9" t="s">
        <v>23</v>
      </c>
      <c r="F129" s="30">
        <v>14779</v>
      </c>
      <c r="G129" s="31">
        <v>7069484</v>
      </c>
      <c r="H129" s="22">
        <v>45965</v>
      </c>
      <c r="I129" s="22">
        <v>46159</v>
      </c>
      <c r="J129" s="9" t="str" cm="1">
        <f t="array" aca="1" ref="J129" ca="1">_xlfn.IFS(Table2[[#This Row],[End Date]]-Dashboard!$Z$4&gt;30, "Active",Table2[[#This Row],[End Date]]-Dashboard!$Z$4&gt;0,"Expiring Soon",Table2[[#This Row],[End Date]]-Dashboard!$Z$4&lt;=0,"Expired")</f>
        <v>Expiring Soon</v>
      </c>
      <c r="K129" s="10">
        <f ca="1">IF(Table2[[#This Row],[End Date]]-Dashboard!$Z$4&lt;=0,"Expired",Table2[[#This Row],[End Date]]-Dashboard!$Z$4)</f>
        <v>12</v>
      </c>
      <c r="L129" s="13" t="s">
        <v>11</v>
      </c>
      <c r="M129" s="10">
        <v>5</v>
      </c>
      <c r="N129" s="9" t="str" cm="1">
        <f t="array" ref="N129">_xlfn.IFS(Table2[[#This Row],[Claims Count]]&gt;=3,"High",Table2[[#This Row],[Claims Count]]&gt;=1,"Medium",Table2[[#This Row],[Claims Count]]=0,"None")</f>
        <v>High</v>
      </c>
      <c r="O129" s="9" cm="1">
        <f t="array" ref="O129">(_xlfn.IFS(Table2[[#This Row],[Risk Level ]]="High",3,Table2[[#This Row],[Risk Level ]]="Medium",2,Table2[[#This Row],[Risk Level ]]="Low",1))+(_xlfn.IFS(Table2[[#This Row],[ Claims Frequency ]]="High",3,Table2[[#This Row],[ Claims Frequency ]]="Medium",1,Table2[[#This Row],[ Claims Frequency ]]="None",0))</f>
        <v>4</v>
      </c>
      <c r="P129" s="24" t="str" cm="1">
        <f t="array" ref="P129">_xlfn.IFS(Table2[[#This Row],[Final Risk Score ]]&gt;=5,"High",Table2[[#This Row],[Final Risk Score ]]&gt;=3,"Medium",Table2[[#This Row],[Final Risk Score ]]&lt;=2,"Low")</f>
        <v>Medium</v>
      </c>
      <c r="R129"/>
      <c r="S129"/>
      <c r="T129"/>
      <c r="U129"/>
    </row>
    <row r="130" spans="1:21" x14ac:dyDescent="0.25">
      <c r="A130" s="9" t="s">
        <v>176</v>
      </c>
      <c r="B130" s="13" t="s">
        <v>43</v>
      </c>
      <c r="C130" s="9" t="s">
        <v>37</v>
      </c>
      <c r="D130" s="9" t="s">
        <v>34</v>
      </c>
      <c r="E130" s="9" t="s">
        <v>39</v>
      </c>
      <c r="F130" s="30">
        <v>37285</v>
      </c>
      <c r="G130" s="31">
        <v>2074277</v>
      </c>
      <c r="H130" s="22">
        <v>45733</v>
      </c>
      <c r="I130" s="22">
        <v>46286</v>
      </c>
      <c r="J130" s="9" t="str" cm="1">
        <f t="array" aca="1" ref="J130" ca="1">_xlfn.IFS(Table2[[#This Row],[End Date]]-Dashboard!$Z$4&gt;30, "Active",Table2[[#This Row],[End Date]]-Dashboard!$Z$4&gt;0,"Expiring Soon",Table2[[#This Row],[End Date]]-Dashboard!$Z$4&lt;=0,"Expired")</f>
        <v>Active</v>
      </c>
      <c r="K130" s="10">
        <f ca="1">IF(Table2[[#This Row],[End Date]]-Dashboard!$Z$4&lt;=0,"Expired",Table2[[#This Row],[End Date]]-Dashboard!$Z$4)</f>
        <v>139</v>
      </c>
      <c r="L130" s="13" t="s">
        <v>11</v>
      </c>
      <c r="M130" s="10">
        <v>1</v>
      </c>
      <c r="N130" s="9" t="str" cm="1">
        <f t="array" ref="N130">_xlfn.IFS(Table2[[#This Row],[Claims Count]]&gt;=3,"High",Table2[[#This Row],[Claims Count]]&gt;=1,"Medium",Table2[[#This Row],[Claims Count]]=0,"None")</f>
        <v>Medium</v>
      </c>
      <c r="O130" s="9" cm="1">
        <f t="array" ref="O130">(_xlfn.IFS(Table2[[#This Row],[Risk Level ]]="High",3,Table2[[#This Row],[Risk Level ]]="Medium",2,Table2[[#This Row],[Risk Level ]]="Low",1))+(_xlfn.IFS(Table2[[#This Row],[ Claims Frequency ]]="High",3,Table2[[#This Row],[ Claims Frequency ]]="Medium",1,Table2[[#This Row],[ Claims Frequency ]]="None",0))</f>
        <v>2</v>
      </c>
      <c r="P130" s="24" t="str" cm="1">
        <f t="array" ref="P130">_xlfn.IFS(Table2[[#This Row],[Final Risk Score ]]&gt;=5,"High",Table2[[#This Row],[Final Risk Score ]]&gt;=3,"Medium",Table2[[#This Row],[Final Risk Score ]]&lt;=2,"Low")</f>
        <v>Low</v>
      </c>
      <c r="R130"/>
      <c r="S130"/>
      <c r="T130"/>
      <c r="U130"/>
    </row>
    <row r="131" spans="1:21" x14ac:dyDescent="0.25">
      <c r="A131" s="9" t="s">
        <v>177</v>
      </c>
      <c r="B131" s="13" t="s">
        <v>29</v>
      </c>
      <c r="C131" s="9" t="s">
        <v>15</v>
      </c>
      <c r="D131" s="9" t="s">
        <v>38</v>
      </c>
      <c r="E131" s="9" t="s">
        <v>27</v>
      </c>
      <c r="F131" s="30">
        <v>31497</v>
      </c>
      <c r="G131" s="31">
        <v>7509432</v>
      </c>
      <c r="H131" s="22">
        <v>45729</v>
      </c>
      <c r="I131" s="22">
        <v>46179</v>
      </c>
      <c r="J131" s="9" t="str" cm="1">
        <f t="array" aca="1" ref="J131" ca="1">_xlfn.IFS(Table2[[#This Row],[End Date]]-Dashboard!$Z$4&gt;30, "Active",Table2[[#This Row],[End Date]]-Dashboard!$Z$4&gt;0,"Expiring Soon",Table2[[#This Row],[End Date]]-Dashboard!$Z$4&lt;=0,"Expired")</f>
        <v>Active</v>
      </c>
      <c r="K131" s="10">
        <f ca="1">IF(Table2[[#This Row],[End Date]]-Dashboard!$Z$4&lt;=0,"Expired",Table2[[#This Row],[End Date]]-Dashboard!$Z$4)</f>
        <v>32</v>
      </c>
      <c r="L131" s="13" t="s">
        <v>18</v>
      </c>
      <c r="M131" s="10">
        <v>0</v>
      </c>
      <c r="N131" s="9" t="str" cm="1">
        <f t="array" ref="N131">_xlfn.IFS(Table2[[#This Row],[Claims Count]]&gt;=3,"High",Table2[[#This Row],[Claims Count]]&gt;=1,"Medium",Table2[[#This Row],[Claims Count]]=0,"None")</f>
        <v>None</v>
      </c>
      <c r="O131" s="9" cm="1">
        <f t="array" ref="O131">(_xlfn.IFS(Table2[[#This Row],[Risk Level ]]="High",3,Table2[[#This Row],[Risk Level ]]="Medium",2,Table2[[#This Row],[Risk Level ]]="Low",1))+(_xlfn.IFS(Table2[[#This Row],[ Claims Frequency ]]="High",3,Table2[[#This Row],[ Claims Frequency ]]="Medium",1,Table2[[#This Row],[ Claims Frequency ]]="None",0))</f>
        <v>3</v>
      </c>
      <c r="P131" s="24" t="str" cm="1">
        <f t="array" ref="P131">_xlfn.IFS(Table2[[#This Row],[Final Risk Score ]]&gt;=5,"High",Table2[[#This Row],[Final Risk Score ]]&gt;=3,"Medium",Table2[[#This Row],[Final Risk Score ]]&lt;=2,"Low")</f>
        <v>Medium</v>
      </c>
      <c r="R131"/>
      <c r="S131"/>
      <c r="T131"/>
      <c r="U131"/>
    </row>
    <row r="132" spans="1:21" x14ac:dyDescent="0.25">
      <c r="A132" s="9" t="s">
        <v>178</v>
      </c>
      <c r="B132" s="13" t="s">
        <v>20</v>
      </c>
      <c r="C132" s="9" t="s">
        <v>21</v>
      </c>
      <c r="D132" s="9" t="s">
        <v>41</v>
      </c>
      <c r="E132" s="9" t="s">
        <v>39</v>
      </c>
      <c r="F132" s="30">
        <v>24728</v>
      </c>
      <c r="G132" s="31">
        <v>1669996</v>
      </c>
      <c r="H132" s="22">
        <v>45922</v>
      </c>
      <c r="I132" s="22">
        <v>46269</v>
      </c>
      <c r="J132" s="9" t="str" cm="1">
        <f t="array" aca="1" ref="J132" ca="1">_xlfn.IFS(Table2[[#This Row],[End Date]]-Dashboard!$Z$4&gt;30, "Active",Table2[[#This Row],[End Date]]-Dashboard!$Z$4&gt;0,"Expiring Soon",Table2[[#This Row],[End Date]]-Dashboard!$Z$4&lt;=0,"Expired")</f>
        <v>Active</v>
      </c>
      <c r="K132" s="10">
        <f ca="1">IF(Table2[[#This Row],[End Date]]-Dashboard!$Z$4&lt;=0,"Expired",Table2[[#This Row],[End Date]]-Dashboard!$Z$4)</f>
        <v>122</v>
      </c>
      <c r="L132" s="13" t="s">
        <v>11</v>
      </c>
      <c r="M132" s="10">
        <v>1</v>
      </c>
      <c r="N132" s="9" t="str" cm="1">
        <f t="array" ref="N132">_xlfn.IFS(Table2[[#This Row],[Claims Count]]&gt;=3,"High",Table2[[#This Row],[Claims Count]]&gt;=1,"Medium",Table2[[#This Row],[Claims Count]]=0,"None")</f>
        <v>Medium</v>
      </c>
      <c r="O132" s="9" cm="1">
        <f t="array" ref="O132">(_xlfn.IFS(Table2[[#This Row],[Risk Level ]]="High",3,Table2[[#This Row],[Risk Level ]]="Medium",2,Table2[[#This Row],[Risk Level ]]="Low",1))+(_xlfn.IFS(Table2[[#This Row],[ Claims Frequency ]]="High",3,Table2[[#This Row],[ Claims Frequency ]]="Medium",1,Table2[[#This Row],[ Claims Frequency ]]="None",0))</f>
        <v>2</v>
      </c>
      <c r="P132" s="24" t="str" cm="1">
        <f t="array" ref="P132">_xlfn.IFS(Table2[[#This Row],[Final Risk Score ]]&gt;=5,"High",Table2[[#This Row],[Final Risk Score ]]&gt;=3,"Medium",Table2[[#This Row],[Final Risk Score ]]&lt;=2,"Low")</f>
        <v>Low</v>
      </c>
      <c r="R132"/>
      <c r="S132"/>
      <c r="T132"/>
      <c r="U132"/>
    </row>
    <row r="133" spans="1:21" x14ac:dyDescent="0.25">
      <c r="A133" s="9" t="s">
        <v>179</v>
      </c>
      <c r="B133" s="13" t="s">
        <v>14</v>
      </c>
      <c r="C133" s="9" t="s">
        <v>37</v>
      </c>
      <c r="D133" s="9" t="s">
        <v>26</v>
      </c>
      <c r="E133" s="9" t="s">
        <v>23</v>
      </c>
      <c r="F133" s="30">
        <v>7678</v>
      </c>
      <c r="G133" s="31">
        <v>9279125</v>
      </c>
      <c r="H133" s="22">
        <v>45822</v>
      </c>
      <c r="I133" s="22">
        <v>46328</v>
      </c>
      <c r="J133" s="9" t="str" cm="1">
        <f t="array" aca="1" ref="J133" ca="1">_xlfn.IFS(Table2[[#This Row],[End Date]]-Dashboard!$Z$4&gt;30, "Active",Table2[[#This Row],[End Date]]-Dashboard!$Z$4&gt;0,"Expiring Soon",Table2[[#This Row],[End Date]]-Dashboard!$Z$4&lt;=0,"Expired")</f>
        <v>Active</v>
      </c>
      <c r="K133" s="10">
        <f ca="1">IF(Table2[[#This Row],[End Date]]-Dashboard!$Z$4&lt;=0,"Expired",Table2[[#This Row],[End Date]]-Dashboard!$Z$4)</f>
        <v>181</v>
      </c>
      <c r="L133" s="13" t="s">
        <v>18</v>
      </c>
      <c r="M133" s="10">
        <v>2</v>
      </c>
      <c r="N133" s="9" t="str" cm="1">
        <f t="array" ref="N133">_xlfn.IFS(Table2[[#This Row],[Claims Count]]&gt;=3,"High",Table2[[#This Row],[Claims Count]]&gt;=1,"Medium",Table2[[#This Row],[Claims Count]]=0,"None")</f>
        <v>Medium</v>
      </c>
      <c r="O133" s="9" cm="1">
        <f t="array" ref="O133">(_xlfn.IFS(Table2[[#This Row],[Risk Level ]]="High",3,Table2[[#This Row],[Risk Level ]]="Medium",2,Table2[[#This Row],[Risk Level ]]="Low",1))+(_xlfn.IFS(Table2[[#This Row],[ Claims Frequency ]]="High",3,Table2[[#This Row],[ Claims Frequency ]]="Medium",1,Table2[[#This Row],[ Claims Frequency ]]="None",0))</f>
        <v>4</v>
      </c>
      <c r="P133" s="24" t="str" cm="1">
        <f t="array" ref="P133">_xlfn.IFS(Table2[[#This Row],[Final Risk Score ]]&gt;=5,"High",Table2[[#This Row],[Final Risk Score ]]&gt;=3,"Medium",Table2[[#This Row],[Final Risk Score ]]&lt;=2,"Low")</f>
        <v>Medium</v>
      </c>
      <c r="R133"/>
      <c r="S133"/>
      <c r="T133"/>
      <c r="U133"/>
    </row>
    <row r="134" spans="1:21" x14ac:dyDescent="0.25">
      <c r="A134" s="9" t="s">
        <v>180</v>
      </c>
      <c r="B134" s="13" t="s">
        <v>59</v>
      </c>
      <c r="C134" s="9" t="s">
        <v>30</v>
      </c>
      <c r="D134" s="9" t="s">
        <v>31</v>
      </c>
      <c r="E134" s="9" t="s">
        <v>17</v>
      </c>
      <c r="F134" s="30">
        <v>29825</v>
      </c>
      <c r="G134" s="31">
        <v>6428210</v>
      </c>
      <c r="H134" s="22">
        <v>45909</v>
      </c>
      <c r="I134" s="22">
        <v>46270</v>
      </c>
      <c r="J134" s="9" t="str" cm="1">
        <f t="array" aca="1" ref="J134" ca="1">_xlfn.IFS(Table2[[#This Row],[End Date]]-Dashboard!$Z$4&gt;30, "Active",Table2[[#This Row],[End Date]]-Dashboard!$Z$4&gt;0,"Expiring Soon",Table2[[#This Row],[End Date]]-Dashboard!$Z$4&lt;=0,"Expired")</f>
        <v>Active</v>
      </c>
      <c r="K134" s="10">
        <f ca="1">IF(Table2[[#This Row],[End Date]]-Dashboard!$Z$4&lt;=0,"Expired",Table2[[#This Row],[End Date]]-Dashboard!$Z$4)</f>
        <v>123</v>
      </c>
      <c r="L134" s="13" t="s">
        <v>46</v>
      </c>
      <c r="M134" s="10">
        <v>6</v>
      </c>
      <c r="N134" s="9" t="str" cm="1">
        <f t="array" ref="N134">_xlfn.IFS(Table2[[#This Row],[Claims Count]]&gt;=3,"High",Table2[[#This Row],[Claims Count]]&gt;=1,"Medium",Table2[[#This Row],[Claims Count]]=0,"None")</f>
        <v>High</v>
      </c>
      <c r="O134" s="9" cm="1">
        <f t="array" ref="O134">(_xlfn.IFS(Table2[[#This Row],[Risk Level ]]="High",3,Table2[[#This Row],[Risk Level ]]="Medium",2,Table2[[#This Row],[Risk Level ]]="Low",1))+(_xlfn.IFS(Table2[[#This Row],[ Claims Frequency ]]="High",3,Table2[[#This Row],[ Claims Frequency ]]="Medium",1,Table2[[#This Row],[ Claims Frequency ]]="None",0))</f>
        <v>5</v>
      </c>
      <c r="P134" s="24" t="str" cm="1">
        <f t="array" ref="P134">_xlfn.IFS(Table2[[#This Row],[Final Risk Score ]]&gt;=5,"High",Table2[[#This Row],[Final Risk Score ]]&gt;=3,"Medium",Table2[[#This Row],[Final Risk Score ]]&lt;=2,"Low")</f>
        <v>High</v>
      </c>
      <c r="R134"/>
      <c r="S134"/>
      <c r="T134"/>
      <c r="U134"/>
    </row>
    <row r="135" spans="1:21" x14ac:dyDescent="0.25">
      <c r="A135" s="9" t="s">
        <v>181</v>
      </c>
      <c r="B135" s="13" t="s">
        <v>14</v>
      </c>
      <c r="C135" s="9" t="s">
        <v>21</v>
      </c>
      <c r="D135" s="9" t="s">
        <v>22</v>
      </c>
      <c r="E135" s="9" t="s">
        <v>27</v>
      </c>
      <c r="F135" s="30">
        <v>30950</v>
      </c>
      <c r="G135" s="31">
        <v>3816058</v>
      </c>
      <c r="H135" s="22">
        <v>45881</v>
      </c>
      <c r="I135" s="22">
        <v>46379</v>
      </c>
      <c r="J135" s="9" t="str" cm="1">
        <f t="array" aca="1" ref="J135" ca="1">_xlfn.IFS(Table2[[#This Row],[End Date]]-Dashboard!$Z$4&gt;30, "Active",Table2[[#This Row],[End Date]]-Dashboard!$Z$4&gt;0,"Expiring Soon",Table2[[#This Row],[End Date]]-Dashboard!$Z$4&lt;=0,"Expired")</f>
        <v>Active</v>
      </c>
      <c r="K135" s="10">
        <f ca="1">IF(Table2[[#This Row],[End Date]]-Dashboard!$Z$4&lt;=0,"Expired",Table2[[#This Row],[End Date]]-Dashboard!$Z$4)</f>
        <v>232</v>
      </c>
      <c r="L135" s="13" t="s">
        <v>46</v>
      </c>
      <c r="M135" s="10">
        <v>6</v>
      </c>
      <c r="N135" s="9" t="str" cm="1">
        <f t="array" ref="N135">_xlfn.IFS(Table2[[#This Row],[Claims Count]]&gt;=3,"High",Table2[[#This Row],[Claims Count]]&gt;=1,"Medium",Table2[[#This Row],[Claims Count]]=0,"None")</f>
        <v>High</v>
      </c>
      <c r="O135" s="9" cm="1">
        <f t="array" ref="O135">(_xlfn.IFS(Table2[[#This Row],[Risk Level ]]="High",3,Table2[[#This Row],[Risk Level ]]="Medium",2,Table2[[#This Row],[Risk Level ]]="Low",1))+(_xlfn.IFS(Table2[[#This Row],[ Claims Frequency ]]="High",3,Table2[[#This Row],[ Claims Frequency ]]="Medium",1,Table2[[#This Row],[ Claims Frequency ]]="None",0))</f>
        <v>5</v>
      </c>
      <c r="P135" s="24" t="str" cm="1">
        <f t="array" ref="P135">_xlfn.IFS(Table2[[#This Row],[Final Risk Score ]]&gt;=5,"High",Table2[[#This Row],[Final Risk Score ]]&gt;=3,"Medium",Table2[[#This Row],[Final Risk Score ]]&lt;=2,"Low")</f>
        <v>High</v>
      </c>
      <c r="R135"/>
      <c r="S135"/>
      <c r="T135"/>
      <c r="U135"/>
    </row>
    <row r="136" spans="1:21" x14ac:dyDescent="0.25">
      <c r="A136" s="9" t="s">
        <v>182</v>
      </c>
      <c r="B136" s="13" t="s">
        <v>36</v>
      </c>
      <c r="C136" s="9" t="s">
        <v>37</v>
      </c>
      <c r="D136" s="9" t="s">
        <v>54</v>
      </c>
      <c r="E136" s="9" t="s">
        <v>49</v>
      </c>
      <c r="F136" s="30">
        <v>7295</v>
      </c>
      <c r="G136" s="31">
        <v>4599354</v>
      </c>
      <c r="H136" s="22">
        <v>45732</v>
      </c>
      <c r="I136" s="22">
        <v>46247</v>
      </c>
      <c r="J136" s="9" t="str" cm="1">
        <f t="array" aca="1" ref="J136" ca="1">_xlfn.IFS(Table2[[#This Row],[End Date]]-Dashboard!$Z$4&gt;30, "Active",Table2[[#This Row],[End Date]]-Dashboard!$Z$4&gt;0,"Expiring Soon",Table2[[#This Row],[End Date]]-Dashboard!$Z$4&lt;=0,"Expired")</f>
        <v>Active</v>
      </c>
      <c r="K136" s="10">
        <f ca="1">IF(Table2[[#This Row],[End Date]]-Dashboard!$Z$4&lt;=0,"Expired",Table2[[#This Row],[End Date]]-Dashboard!$Z$4)</f>
        <v>100</v>
      </c>
      <c r="L136" s="13" t="s">
        <v>11</v>
      </c>
      <c r="M136" s="10">
        <v>3</v>
      </c>
      <c r="N136" s="9" t="str" cm="1">
        <f t="array" ref="N136">_xlfn.IFS(Table2[[#This Row],[Claims Count]]&gt;=3,"High",Table2[[#This Row],[Claims Count]]&gt;=1,"Medium",Table2[[#This Row],[Claims Count]]=0,"None")</f>
        <v>High</v>
      </c>
      <c r="O136" s="9" cm="1">
        <f t="array" ref="O136">(_xlfn.IFS(Table2[[#This Row],[Risk Level ]]="High",3,Table2[[#This Row],[Risk Level ]]="Medium",2,Table2[[#This Row],[Risk Level ]]="Low",1))+(_xlfn.IFS(Table2[[#This Row],[ Claims Frequency ]]="High",3,Table2[[#This Row],[ Claims Frequency ]]="Medium",1,Table2[[#This Row],[ Claims Frequency ]]="None",0))</f>
        <v>4</v>
      </c>
      <c r="P136" s="24" t="str" cm="1">
        <f t="array" ref="P136">_xlfn.IFS(Table2[[#This Row],[Final Risk Score ]]&gt;=5,"High",Table2[[#This Row],[Final Risk Score ]]&gt;=3,"Medium",Table2[[#This Row],[Final Risk Score ]]&lt;=2,"Low")</f>
        <v>Medium</v>
      </c>
      <c r="R136"/>
      <c r="S136"/>
      <c r="T136"/>
      <c r="U136"/>
    </row>
    <row r="137" spans="1:21" x14ac:dyDescent="0.25">
      <c r="A137" s="9" t="s">
        <v>183</v>
      </c>
      <c r="B137" s="13" t="s">
        <v>51</v>
      </c>
      <c r="C137" s="9" t="s">
        <v>21</v>
      </c>
      <c r="D137" s="9" t="s">
        <v>48</v>
      </c>
      <c r="E137" s="9" t="s">
        <v>39</v>
      </c>
      <c r="F137" s="30">
        <v>33696</v>
      </c>
      <c r="G137" s="31">
        <v>9233219</v>
      </c>
      <c r="H137" s="22">
        <v>45927</v>
      </c>
      <c r="I137" s="22">
        <v>46230</v>
      </c>
      <c r="J137" s="9" t="str" cm="1">
        <f t="array" aca="1" ref="J137" ca="1">_xlfn.IFS(Table2[[#This Row],[End Date]]-Dashboard!$Z$4&gt;30, "Active",Table2[[#This Row],[End Date]]-Dashboard!$Z$4&gt;0,"Expiring Soon",Table2[[#This Row],[End Date]]-Dashboard!$Z$4&lt;=0,"Expired")</f>
        <v>Active</v>
      </c>
      <c r="K137" s="10">
        <f ca="1">IF(Table2[[#This Row],[End Date]]-Dashboard!$Z$4&lt;=0,"Expired",Table2[[#This Row],[End Date]]-Dashboard!$Z$4)</f>
        <v>83</v>
      </c>
      <c r="L137" s="13" t="s">
        <v>18</v>
      </c>
      <c r="M137" s="10">
        <v>4</v>
      </c>
      <c r="N137" s="9" t="str" cm="1">
        <f t="array" ref="N137">_xlfn.IFS(Table2[[#This Row],[Claims Count]]&gt;=3,"High",Table2[[#This Row],[Claims Count]]&gt;=1,"Medium",Table2[[#This Row],[Claims Count]]=0,"None")</f>
        <v>High</v>
      </c>
      <c r="O137" s="9" cm="1">
        <f t="array" ref="O137">(_xlfn.IFS(Table2[[#This Row],[Risk Level ]]="High",3,Table2[[#This Row],[Risk Level ]]="Medium",2,Table2[[#This Row],[Risk Level ]]="Low",1))+(_xlfn.IFS(Table2[[#This Row],[ Claims Frequency ]]="High",3,Table2[[#This Row],[ Claims Frequency ]]="Medium",1,Table2[[#This Row],[ Claims Frequency ]]="None",0))</f>
        <v>6</v>
      </c>
      <c r="P137" s="24" t="str" cm="1">
        <f t="array" ref="P137">_xlfn.IFS(Table2[[#This Row],[Final Risk Score ]]&gt;=5,"High",Table2[[#This Row],[Final Risk Score ]]&gt;=3,"Medium",Table2[[#This Row],[Final Risk Score ]]&lt;=2,"Low")</f>
        <v>High</v>
      </c>
      <c r="R137"/>
      <c r="S137"/>
      <c r="T137"/>
      <c r="U137"/>
    </row>
    <row r="138" spans="1:21" x14ac:dyDescent="0.25">
      <c r="A138" s="9" t="s">
        <v>184</v>
      </c>
      <c r="B138" s="13" t="s">
        <v>77</v>
      </c>
      <c r="C138" s="9" t="s">
        <v>37</v>
      </c>
      <c r="D138" s="9" t="s">
        <v>22</v>
      </c>
      <c r="E138" s="9" t="s">
        <v>17</v>
      </c>
      <c r="F138" s="30">
        <v>16342</v>
      </c>
      <c r="G138" s="31">
        <v>8341086</v>
      </c>
      <c r="H138" s="22">
        <v>45846</v>
      </c>
      <c r="I138" s="22">
        <v>46221</v>
      </c>
      <c r="J138" s="9" t="str" cm="1">
        <f t="array" aca="1" ref="J138" ca="1">_xlfn.IFS(Table2[[#This Row],[End Date]]-Dashboard!$Z$4&gt;30, "Active",Table2[[#This Row],[End Date]]-Dashboard!$Z$4&gt;0,"Expiring Soon",Table2[[#This Row],[End Date]]-Dashboard!$Z$4&lt;=0,"Expired")</f>
        <v>Active</v>
      </c>
      <c r="K138" s="10">
        <f ca="1">IF(Table2[[#This Row],[End Date]]-Dashboard!$Z$4&lt;=0,"Expired",Table2[[#This Row],[End Date]]-Dashboard!$Z$4)</f>
        <v>74</v>
      </c>
      <c r="L138" s="13" t="s">
        <v>11</v>
      </c>
      <c r="M138" s="10">
        <v>1</v>
      </c>
      <c r="N138" s="9" t="str" cm="1">
        <f t="array" ref="N138">_xlfn.IFS(Table2[[#This Row],[Claims Count]]&gt;=3,"High",Table2[[#This Row],[Claims Count]]&gt;=1,"Medium",Table2[[#This Row],[Claims Count]]=0,"None")</f>
        <v>Medium</v>
      </c>
      <c r="O138" s="9" cm="1">
        <f t="array" ref="O138">(_xlfn.IFS(Table2[[#This Row],[Risk Level ]]="High",3,Table2[[#This Row],[Risk Level ]]="Medium",2,Table2[[#This Row],[Risk Level ]]="Low",1))+(_xlfn.IFS(Table2[[#This Row],[ Claims Frequency ]]="High",3,Table2[[#This Row],[ Claims Frequency ]]="Medium",1,Table2[[#This Row],[ Claims Frequency ]]="None",0))</f>
        <v>2</v>
      </c>
      <c r="P138" s="24" t="str" cm="1">
        <f t="array" ref="P138">_xlfn.IFS(Table2[[#This Row],[Final Risk Score ]]&gt;=5,"High",Table2[[#This Row],[Final Risk Score ]]&gt;=3,"Medium",Table2[[#This Row],[Final Risk Score ]]&lt;=2,"Low")</f>
        <v>Low</v>
      </c>
      <c r="R138"/>
      <c r="S138"/>
      <c r="T138"/>
      <c r="U138"/>
    </row>
    <row r="139" spans="1:21" x14ac:dyDescent="0.25">
      <c r="A139" s="9" t="s">
        <v>185</v>
      </c>
      <c r="B139" s="13" t="s">
        <v>14</v>
      </c>
      <c r="C139" s="9" t="s">
        <v>21</v>
      </c>
      <c r="D139" s="9" t="s">
        <v>57</v>
      </c>
      <c r="E139" s="9" t="s">
        <v>23</v>
      </c>
      <c r="F139" s="30">
        <v>19458</v>
      </c>
      <c r="G139" s="31">
        <v>3064829</v>
      </c>
      <c r="H139" s="22">
        <v>45934</v>
      </c>
      <c r="I139" s="22">
        <v>46106</v>
      </c>
      <c r="J139" s="9" t="str" cm="1">
        <f t="array" aca="1" ref="J139" ca="1">_xlfn.IFS(Table2[[#This Row],[End Date]]-Dashboard!$Z$4&gt;30, "Active",Table2[[#This Row],[End Date]]-Dashboard!$Z$4&gt;0,"Expiring Soon",Table2[[#This Row],[End Date]]-Dashboard!$Z$4&lt;=0,"Expired")</f>
        <v>Expired</v>
      </c>
      <c r="K139" s="10" t="str">
        <f ca="1">IF(Table2[[#This Row],[End Date]]-Dashboard!$Z$4&lt;=0,"Expired",Table2[[#This Row],[End Date]]-Dashboard!$Z$4)</f>
        <v>Expired</v>
      </c>
      <c r="L139" s="13" t="s">
        <v>11</v>
      </c>
      <c r="M139" s="10">
        <v>5</v>
      </c>
      <c r="N139" s="9" t="str" cm="1">
        <f t="array" ref="N139">_xlfn.IFS(Table2[[#This Row],[Claims Count]]&gt;=3,"High",Table2[[#This Row],[Claims Count]]&gt;=1,"Medium",Table2[[#This Row],[Claims Count]]=0,"None")</f>
        <v>High</v>
      </c>
      <c r="O139" s="9" cm="1">
        <f t="array" ref="O139">(_xlfn.IFS(Table2[[#This Row],[Risk Level ]]="High",3,Table2[[#This Row],[Risk Level ]]="Medium",2,Table2[[#This Row],[Risk Level ]]="Low",1))+(_xlfn.IFS(Table2[[#This Row],[ Claims Frequency ]]="High",3,Table2[[#This Row],[ Claims Frequency ]]="Medium",1,Table2[[#This Row],[ Claims Frequency ]]="None",0))</f>
        <v>4</v>
      </c>
      <c r="P139" s="24" t="str" cm="1">
        <f t="array" ref="P139">_xlfn.IFS(Table2[[#This Row],[Final Risk Score ]]&gt;=5,"High",Table2[[#This Row],[Final Risk Score ]]&gt;=3,"Medium",Table2[[#This Row],[Final Risk Score ]]&lt;=2,"Low")</f>
        <v>Medium</v>
      </c>
      <c r="R139"/>
      <c r="S139"/>
      <c r="T139"/>
      <c r="U139"/>
    </row>
    <row r="140" spans="1:21" x14ac:dyDescent="0.25">
      <c r="A140" s="9" t="s">
        <v>186</v>
      </c>
      <c r="B140" s="13" t="s">
        <v>145</v>
      </c>
      <c r="C140" s="9" t="s">
        <v>21</v>
      </c>
      <c r="D140" s="9" t="s">
        <v>34</v>
      </c>
      <c r="E140" s="9" t="s">
        <v>27</v>
      </c>
      <c r="F140" s="30">
        <v>21688</v>
      </c>
      <c r="G140" s="31">
        <v>4653880</v>
      </c>
      <c r="H140" s="22">
        <v>45728</v>
      </c>
      <c r="I140" s="22">
        <v>46248</v>
      </c>
      <c r="J140" s="9" t="str" cm="1">
        <f t="array" aca="1" ref="J140" ca="1">_xlfn.IFS(Table2[[#This Row],[End Date]]-Dashboard!$Z$4&gt;30, "Active",Table2[[#This Row],[End Date]]-Dashboard!$Z$4&gt;0,"Expiring Soon",Table2[[#This Row],[End Date]]-Dashboard!$Z$4&lt;=0,"Expired")</f>
        <v>Active</v>
      </c>
      <c r="K140" s="10">
        <f ca="1">IF(Table2[[#This Row],[End Date]]-Dashboard!$Z$4&lt;=0,"Expired",Table2[[#This Row],[End Date]]-Dashboard!$Z$4)</f>
        <v>101</v>
      </c>
      <c r="L140" s="13" t="s">
        <v>46</v>
      </c>
      <c r="M140" s="10">
        <v>5</v>
      </c>
      <c r="N140" s="9" t="str" cm="1">
        <f t="array" ref="N140">_xlfn.IFS(Table2[[#This Row],[Claims Count]]&gt;=3,"High",Table2[[#This Row],[Claims Count]]&gt;=1,"Medium",Table2[[#This Row],[Claims Count]]=0,"None")</f>
        <v>High</v>
      </c>
      <c r="O140" s="9" cm="1">
        <f t="array" ref="O140">(_xlfn.IFS(Table2[[#This Row],[Risk Level ]]="High",3,Table2[[#This Row],[Risk Level ]]="Medium",2,Table2[[#This Row],[Risk Level ]]="Low",1))+(_xlfn.IFS(Table2[[#This Row],[ Claims Frequency ]]="High",3,Table2[[#This Row],[ Claims Frequency ]]="Medium",1,Table2[[#This Row],[ Claims Frequency ]]="None",0))</f>
        <v>5</v>
      </c>
      <c r="P140" s="24" t="str" cm="1">
        <f t="array" ref="P140">_xlfn.IFS(Table2[[#This Row],[Final Risk Score ]]&gt;=5,"High",Table2[[#This Row],[Final Risk Score ]]&gt;=3,"Medium",Table2[[#This Row],[Final Risk Score ]]&lt;=2,"Low")</f>
        <v>High</v>
      </c>
      <c r="R140"/>
      <c r="S140"/>
      <c r="T140"/>
      <c r="U140"/>
    </row>
    <row r="141" spans="1:21" x14ac:dyDescent="0.25">
      <c r="A141" s="9" t="s">
        <v>187</v>
      </c>
      <c r="B141" s="13" t="s">
        <v>75</v>
      </c>
      <c r="C141" s="9" t="s">
        <v>30</v>
      </c>
      <c r="D141" s="9" t="s">
        <v>34</v>
      </c>
      <c r="E141" s="9" t="s">
        <v>23</v>
      </c>
      <c r="F141" s="30">
        <v>21473</v>
      </c>
      <c r="G141" s="31">
        <v>9622033</v>
      </c>
      <c r="H141" s="22">
        <v>45944</v>
      </c>
      <c r="I141" s="22">
        <v>46229</v>
      </c>
      <c r="J141" s="9" t="str" cm="1">
        <f t="array" aca="1" ref="J141" ca="1">_xlfn.IFS(Table2[[#This Row],[End Date]]-Dashboard!$Z$4&gt;30, "Active",Table2[[#This Row],[End Date]]-Dashboard!$Z$4&gt;0,"Expiring Soon",Table2[[#This Row],[End Date]]-Dashboard!$Z$4&lt;=0,"Expired")</f>
        <v>Active</v>
      </c>
      <c r="K141" s="10">
        <f ca="1">IF(Table2[[#This Row],[End Date]]-Dashboard!$Z$4&lt;=0,"Expired",Table2[[#This Row],[End Date]]-Dashboard!$Z$4)</f>
        <v>82</v>
      </c>
      <c r="L141" s="13" t="s">
        <v>46</v>
      </c>
      <c r="M141" s="10">
        <v>2</v>
      </c>
      <c r="N141" s="9" t="str" cm="1">
        <f t="array" ref="N141">_xlfn.IFS(Table2[[#This Row],[Claims Count]]&gt;=3,"High",Table2[[#This Row],[Claims Count]]&gt;=1,"Medium",Table2[[#This Row],[Claims Count]]=0,"None")</f>
        <v>Medium</v>
      </c>
      <c r="O141" s="9" cm="1">
        <f t="array" ref="O141">(_xlfn.IFS(Table2[[#This Row],[Risk Level ]]="High",3,Table2[[#This Row],[Risk Level ]]="Medium",2,Table2[[#This Row],[Risk Level ]]="Low",1))+(_xlfn.IFS(Table2[[#This Row],[ Claims Frequency ]]="High",3,Table2[[#This Row],[ Claims Frequency ]]="Medium",1,Table2[[#This Row],[ Claims Frequency ]]="None",0))</f>
        <v>3</v>
      </c>
      <c r="P141" s="24" t="str" cm="1">
        <f t="array" ref="P141">_xlfn.IFS(Table2[[#This Row],[Final Risk Score ]]&gt;=5,"High",Table2[[#This Row],[Final Risk Score ]]&gt;=3,"Medium",Table2[[#This Row],[Final Risk Score ]]&lt;=2,"Low")</f>
        <v>Medium</v>
      </c>
      <c r="R141"/>
      <c r="S141"/>
      <c r="T141"/>
      <c r="U141"/>
    </row>
    <row r="142" spans="1:21" x14ac:dyDescent="0.25">
      <c r="A142" s="9" t="s">
        <v>188</v>
      </c>
      <c r="B142" s="13" t="s">
        <v>145</v>
      </c>
      <c r="C142" s="9" t="s">
        <v>37</v>
      </c>
      <c r="D142" s="9" t="s">
        <v>48</v>
      </c>
      <c r="E142" s="9" t="s">
        <v>27</v>
      </c>
      <c r="F142" s="30">
        <v>20641</v>
      </c>
      <c r="G142" s="31">
        <v>2894251</v>
      </c>
      <c r="H142" s="22">
        <v>45755</v>
      </c>
      <c r="I142" s="22">
        <v>46222</v>
      </c>
      <c r="J142" s="9" t="str" cm="1">
        <f t="array" aca="1" ref="J142" ca="1">_xlfn.IFS(Table2[[#This Row],[End Date]]-Dashboard!$Z$4&gt;30, "Active",Table2[[#This Row],[End Date]]-Dashboard!$Z$4&gt;0,"Expiring Soon",Table2[[#This Row],[End Date]]-Dashboard!$Z$4&lt;=0,"Expired")</f>
        <v>Active</v>
      </c>
      <c r="K142" s="10">
        <f ca="1">IF(Table2[[#This Row],[End Date]]-Dashboard!$Z$4&lt;=0,"Expired",Table2[[#This Row],[End Date]]-Dashboard!$Z$4)</f>
        <v>75</v>
      </c>
      <c r="L142" s="13" t="s">
        <v>46</v>
      </c>
      <c r="M142" s="10">
        <v>5</v>
      </c>
      <c r="N142" s="9" t="str" cm="1">
        <f t="array" ref="N142">_xlfn.IFS(Table2[[#This Row],[Claims Count]]&gt;=3,"High",Table2[[#This Row],[Claims Count]]&gt;=1,"Medium",Table2[[#This Row],[Claims Count]]=0,"None")</f>
        <v>High</v>
      </c>
      <c r="O142" s="9" cm="1">
        <f t="array" ref="O142">(_xlfn.IFS(Table2[[#This Row],[Risk Level ]]="High",3,Table2[[#This Row],[Risk Level ]]="Medium",2,Table2[[#This Row],[Risk Level ]]="Low",1))+(_xlfn.IFS(Table2[[#This Row],[ Claims Frequency ]]="High",3,Table2[[#This Row],[ Claims Frequency ]]="Medium",1,Table2[[#This Row],[ Claims Frequency ]]="None",0))</f>
        <v>5</v>
      </c>
      <c r="P142" s="24" t="str" cm="1">
        <f t="array" ref="P142">_xlfn.IFS(Table2[[#This Row],[Final Risk Score ]]&gt;=5,"High",Table2[[#This Row],[Final Risk Score ]]&gt;=3,"Medium",Table2[[#This Row],[Final Risk Score ]]&lt;=2,"Low")</f>
        <v>High</v>
      </c>
      <c r="R142"/>
      <c r="S142"/>
      <c r="T142"/>
      <c r="U142"/>
    </row>
    <row r="143" spans="1:21" x14ac:dyDescent="0.25">
      <c r="A143" s="9" t="s">
        <v>189</v>
      </c>
      <c r="B143" s="13" t="s">
        <v>75</v>
      </c>
      <c r="C143" s="9" t="s">
        <v>37</v>
      </c>
      <c r="D143" s="9" t="s">
        <v>48</v>
      </c>
      <c r="E143" s="9" t="s">
        <v>17</v>
      </c>
      <c r="F143" s="30">
        <v>31430</v>
      </c>
      <c r="G143" s="31">
        <v>6658658</v>
      </c>
      <c r="H143" s="22">
        <v>45774</v>
      </c>
      <c r="I143" s="22">
        <v>46104</v>
      </c>
      <c r="J143" s="9" t="str" cm="1">
        <f t="array" aca="1" ref="J143" ca="1">_xlfn.IFS(Table2[[#This Row],[End Date]]-Dashboard!$Z$4&gt;30, "Active",Table2[[#This Row],[End Date]]-Dashboard!$Z$4&gt;0,"Expiring Soon",Table2[[#This Row],[End Date]]-Dashboard!$Z$4&lt;=0,"Expired")</f>
        <v>Expired</v>
      </c>
      <c r="K143" s="10" t="str">
        <f ca="1">IF(Table2[[#This Row],[End Date]]-Dashboard!$Z$4&lt;=0,"Expired",Table2[[#This Row],[End Date]]-Dashboard!$Z$4)</f>
        <v>Expired</v>
      </c>
      <c r="L143" s="13" t="s">
        <v>11</v>
      </c>
      <c r="M143" s="10">
        <v>3</v>
      </c>
      <c r="N143" s="9" t="str" cm="1">
        <f t="array" ref="N143">_xlfn.IFS(Table2[[#This Row],[Claims Count]]&gt;=3,"High",Table2[[#This Row],[Claims Count]]&gt;=1,"Medium",Table2[[#This Row],[Claims Count]]=0,"None")</f>
        <v>High</v>
      </c>
      <c r="O143" s="9" cm="1">
        <f t="array" ref="O143">(_xlfn.IFS(Table2[[#This Row],[Risk Level ]]="High",3,Table2[[#This Row],[Risk Level ]]="Medium",2,Table2[[#This Row],[Risk Level ]]="Low",1))+(_xlfn.IFS(Table2[[#This Row],[ Claims Frequency ]]="High",3,Table2[[#This Row],[ Claims Frequency ]]="Medium",1,Table2[[#This Row],[ Claims Frequency ]]="None",0))</f>
        <v>4</v>
      </c>
      <c r="P143" s="24" t="str" cm="1">
        <f t="array" ref="P143">_xlfn.IFS(Table2[[#This Row],[Final Risk Score ]]&gt;=5,"High",Table2[[#This Row],[Final Risk Score ]]&gt;=3,"Medium",Table2[[#This Row],[Final Risk Score ]]&lt;=2,"Low")</f>
        <v>Medium</v>
      </c>
      <c r="R143"/>
      <c r="S143"/>
      <c r="T143"/>
      <c r="U143"/>
    </row>
    <row r="144" spans="1:21" x14ac:dyDescent="0.25">
      <c r="A144" s="9" t="s">
        <v>190</v>
      </c>
      <c r="B144" s="13" t="s">
        <v>63</v>
      </c>
      <c r="C144" s="9" t="s">
        <v>15</v>
      </c>
      <c r="D144" s="9" t="s">
        <v>54</v>
      </c>
      <c r="E144" s="9" t="s">
        <v>27</v>
      </c>
      <c r="F144" s="30">
        <v>21555</v>
      </c>
      <c r="G144" s="31">
        <v>9057523</v>
      </c>
      <c r="H144" s="22">
        <v>45985</v>
      </c>
      <c r="I144" s="22">
        <v>46073</v>
      </c>
      <c r="J144" s="9" t="str" cm="1">
        <f t="array" aca="1" ref="J144" ca="1">_xlfn.IFS(Table2[[#This Row],[End Date]]-Dashboard!$Z$4&gt;30, "Active",Table2[[#This Row],[End Date]]-Dashboard!$Z$4&gt;0,"Expiring Soon",Table2[[#This Row],[End Date]]-Dashboard!$Z$4&lt;=0,"Expired")</f>
        <v>Expired</v>
      </c>
      <c r="K144" s="10" t="str">
        <f ca="1">IF(Table2[[#This Row],[End Date]]-Dashboard!$Z$4&lt;=0,"Expired",Table2[[#This Row],[End Date]]-Dashboard!$Z$4)</f>
        <v>Expired</v>
      </c>
      <c r="L144" s="13" t="s">
        <v>11</v>
      </c>
      <c r="M144" s="10">
        <v>0</v>
      </c>
      <c r="N144" s="9" t="str" cm="1">
        <f t="array" ref="N144">_xlfn.IFS(Table2[[#This Row],[Claims Count]]&gt;=3,"High",Table2[[#This Row],[Claims Count]]&gt;=1,"Medium",Table2[[#This Row],[Claims Count]]=0,"None")</f>
        <v>None</v>
      </c>
      <c r="O144" s="9" cm="1">
        <f t="array" ref="O144">(_xlfn.IFS(Table2[[#This Row],[Risk Level ]]="High",3,Table2[[#This Row],[Risk Level ]]="Medium",2,Table2[[#This Row],[Risk Level ]]="Low",1))+(_xlfn.IFS(Table2[[#This Row],[ Claims Frequency ]]="High",3,Table2[[#This Row],[ Claims Frequency ]]="Medium",1,Table2[[#This Row],[ Claims Frequency ]]="None",0))</f>
        <v>1</v>
      </c>
      <c r="P144" s="24" t="str" cm="1">
        <f t="array" ref="P144">_xlfn.IFS(Table2[[#This Row],[Final Risk Score ]]&gt;=5,"High",Table2[[#This Row],[Final Risk Score ]]&gt;=3,"Medium",Table2[[#This Row],[Final Risk Score ]]&lt;=2,"Low")</f>
        <v>Low</v>
      </c>
      <c r="R144"/>
      <c r="S144"/>
      <c r="T144"/>
      <c r="U144"/>
    </row>
    <row r="145" spans="1:21" x14ac:dyDescent="0.25">
      <c r="A145" s="9" t="s">
        <v>191</v>
      </c>
      <c r="B145" s="13" t="s">
        <v>36</v>
      </c>
      <c r="C145" s="9" t="s">
        <v>21</v>
      </c>
      <c r="D145" s="9" t="s">
        <v>34</v>
      </c>
      <c r="E145" s="9" t="s">
        <v>49</v>
      </c>
      <c r="F145" s="30">
        <v>28146</v>
      </c>
      <c r="G145" s="31">
        <v>6574403</v>
      </c>
      <c r="H145" s="22">
        <v>45983</v>
      </c>
      <c r="I145" s="22">
        <v>46237</v>
      </c>
      <c r="J145" s="9" t="str" cm="1">
        <f t="array" aca="1" ref="J145" ca="1">_xlfn.IFS(Table2[[#This Row],[End Date]]-Dashboard!$Z$4&gt;30, "Active",Table2[[#This Row],[End Date]]-Dashboard!$Z$4&gt;0,"Expiring Soon",Table2[[#This Row],[End Date]]-Dashboard!$Z$4&lt;=0,"Expired")</f>
        <v>Active</v>
      </c>
      <c r="K145" s="10">
        <f ca="1">IF(Table2[[#This Row],[End Date]]-Dashboard!$Z$4&lt;=0,"Expired",Table2[[#This Row],[End Date]]-Dashboard!$Z$4)</f>
        <v>90</v>
      </c>
      <c r="L145" s="13" t="s">
        <v>18</v>
      </c>
      <c r="M145" s="10">
        <v>3</v>
      </c>
      <c r="N145" s="9" t="str" cm="1">
        <f t="array" ref="N145">_xlfn.IFS(Table2[[#This Row],[Claims Count]]&gt;=3,"High",Table2[[#This Row],[Claims Count]]&gt;=1,"Medium",Table2[[#This Row],[Claims Count]]=0,"None")</f>
        <v>High</v>
      </c>
      <c r="O145" s="9" cm="1">
        <f t="array" ref="O145">(_xlfn.IFS(Table2[[#This Row],[Risk Level ]]="High",3,Table2[[#This Row],[Risk Level ]]="Medium",2,Table2[[#This Row],[Risk Level ]]="Low",1))+(_xlfn.IFS(Table2[[#This Row],[ Claims Frequency ]]="High",3,Table2[[#This Row],[ Claims Frequency ]]="Medium",1,Table2[[#This Row],[ Claims Frequency ]]="None",0))</f>
        <v>6</v>
      </c>
      <c r="P145" s="24" t="str" cm="1">
        <f t="array" ref="P145">_xlfn.IFS(Table2[[#This Row],[Final Risk Score ]]&gt;=5,"High",Table2[[#This Row],[Final Risk Score ]]&gt;=3,"Medium",Table2[[#This Row],[Final Risk Score ]]&lt;=2,"Low")</f>
        <v>High</v>
      </c>
      <c r="R145"/>
      <c r="S145"/>
      <c r="T145"/>
      <c r="U145"/>
    </row>
    <row r="146" spans="1:21" x14ac:dyDescent="0.25">
      <c r="A146" s="9" t="s">
        <v>192</v>
      </c>
      <c r="B146" s="13" t="s">
        <v>29</v>
      </c>
      <c r="C146" s="9" t="s">
        <v>21</v>
      </c>
      <c r="D146" s="9" t="s">
        <v>16</v>
      </c>
      <c r="E146" s="9" t="s">
        <v>49</v>
      </c>
      <c r="F146" s="30">
        <v>18859</v>
      </c>
      <c r="G146" s="31">
        <v>806117</v>
      </c>
      <c r="H146" s="22">
        <v>46012</v>
      </c>
      <c r="I146" s="22">
        <v>46078</v>
      </c>
      <c r="J146" s="9" t="str" cm="1">
        <f t="array" aca="1" ref="J146" ca="1">_xlfn.IFS(Table2[[#This Row],[End Date]]-Dashboard!$Z$4&gt;30, "Active",Table2[[#This Row],[End Date]]-Dashboard!$Z$4&gt;0,"Expiring Soon",Table2[[#This Row],[End Date]]-Dashboard!$Z$4&lt;=0,"Expired")</f>
        <v>Expired</v>
      </c>
      <c r="K146" s="10" t="str">
        <f ca="1">IF(Table2[[#This Row],[End Date]]-Dashboard!$Z$4&lt;=0,"Expired",Table2[[#This Row],[End Date]]-Dashboard!$Z$4)</f>
        <v>Expired</v>
      </c>
      <c r="L146" s="13" t="s">
        <v>46</v>
      </c>
      <c r="M146" s="10">
        <v>2</v>
      </c>
      <c r="N146" s="9" t="str" cm="1">
        <f t="array" ref="N146">_xlfn.IFS(Table2[[#This Row],[Claims Count]]&gt;=3,"High",Table2[[#This Row],[Claims Count]]&gt;=1,"Medium",Table2[[#This Row],[Claims Count]]=0,"None")</f>
        <v>Medium</v>
      </c>
      <c r="O146" s="9" cm="1">
        <f t="array" ref="O146">(_xlfn.IFS(Table2[[#This Row],[Risk Level ]]="High",3,Table2[[#This Row],[Risk Level ]]="Medium",2,Table2[[#This Row],[Risk Level ]]="Low",1))+(_xlfn.IFS(Table2[[#This Row],[ Claims Frequency ]]="High",3,Table2[[#This Row],[ Claims Frequency ]]="Medium",1,Table2[[#This Row],[ Claims Frequency ]]="None",0))</f>
        <v>3</v>
      </c>
      <c r="P146" s="24" t="str" cm="1">
        <f t="array" ref="P146">_xlfn.IFS(Table2[[#This Row],[Final Risk Score ]]&gt;=5,"High",Table2[[#This Row],[Final Risk Score ]]&gt;=3,"Medium",Table2[[#This Row],[Final Risk Score ]]&lt;=2,"Low")</f>
        <v>Medium</v>
      </c>
      <c r="R146"/>
      <c r="S146"/>
      <c r="T146"/>
      <c r="U146"/>
    </row>
    <row r="147" spans="1:21" x14ac:dyDescent="0.25">
      <c r="A147" s="9" t="s">
        <v>193</v>
      </c>
      <c r="B147" s="13" t="s">
        <v>29</v>
      </c>
      <c r="C147" s="9" t="s">
        <v>37</v>
      </c>
      <c r="D147" s="9" t="s">
        <v>26</v>
      </c>
      <c r="E147" s="9" t="s">
        <v>39</v>
      </c>
      <c r="F147" s="30">
        <v>23592</v>
      </c>
      <c r="G147" s="31">
        <v>5336830</v>
      </c>
      <c r="H147" s="22">
        <v>45945</v>
      </c>
      <c r="I147" s="22">
        <v>46241</v>
      </c>
      <c r="J147" s="9" t="str" cm="1">
        <f t="array" aca="1" ref="J147" ca="1">_xlfn.IFS(Table2[[#This Row],[End Date]]-Dashboard!$Z$4&gt;30, "Active",Table2[[#This Row],[End Date]]-Dashboard!$Z$4&gt;0,"Expiring Soon",Table2[[#This Row],[End Date]]-Dashboard!$Z$4&lt;=0,"Expired")</f>
        <v>Active</v>
      </c>
      <c r="K147" s="10">
        <f ca="1">IF(Table2[[#This Row],[End Date]]-Dashboard!$Z$4&lt;=0,"Expired",Table2[[#This Row],[End Date]]-Dashboard!$Z$4)</f>
        <v>94</v>
      </c>
      <c r="L147" s="13" t="s">
        <v>18</v>
      </c>
      <c r="M147" s="10">
        <v>1</v>
      </c>
      <c r="N147" s="9" t="str" cm="1">
        <f t="array" ref="N147">_xlfn.IFS(Table2[[#This Row],[Claims Count]]&gt;=3,"High",Table2[[#This Row],[Claims Count]]&gt;=1,"Medium",Table2[[#This Row],[Claims Count]]=0,"None")</f>
        <v>Medium</v>
      </c>
      <c r="O147" s="9" cm="1">
        <f t="array" ref="O147">(_xlfn.IFS(Table2[[#This Row],[Risk Level ]]="High",3,Table2[[#This Row],[Risk Level ]]="Medium",2,Table2[[#This Row],[Risk Level ]]="Low",1))+(_xlfn.IFS(Table2[[#This Row],[ Claims Frequency ]]="High",3,Table2[[#This Row],[ Claims Frequency ]]="Medium",1,Table2[[#This Row],[ Claims Frequency ]]="None",0))</f>
        <v>4</v>
      </c>
      <c r="P147" s="24" t="str" cm="1">
        <f t="array" ref="P147">_xlfn.IFS(Table2[[#This Row],[Final Risk Score ]]&gt;=5,"High",Table2[[#This Row],[Final Risk Score ]]&gt;=3,"Medium",Table2[[#This Row],[Final Risk Score ]]&lt;=2,"Low")</f>
        <v>Medium</v>
      </c>
      <c r="R147"/>
      <c r="S147"/>
      <c r="T147"/>
      <c r="U147"/>
    </row>
    <row r="148" spans="1:21" x14ac:dyDescent="0.25">
      <c r="A148" s="9" t="s">
        <v>194</v>
      </c>
      <c r="B148" s="13" t="s">
        <v>25</v>
      </c>
      <c r="C148" s="9" t="s">
        <v>30</v>
      </c>
      <c r="D148" s="9" t="s">
        <v>31</v>
      </c>
      <c r="E148" s="9" t="s">
        <v>17</v>
      </c>
      <c r="F148" s="30">
        <v>10989</v>
      </c>
      <c r="G148" s="31">
        <v>4994210</v>
      </c>
      <c r="H148" s="22">
        <v>45692</v>
      </c>
      <c r="I148" s="22">
        <v>46089</v>
      </c>
      <c r="J148" s="9" t="str" cm="1">
        <f t="array" aca="1" ref="J148" ca="1">_xlfn.IFS(Table2[[#This Row],[End Date]]-Dashboard!$Z$4&gt;30, "Active",Table2[[#This Row],[End Date]]-Dashboard!$Z$4&gt;0,"Expiring Soon",Table2[[#This Row],[End Date]]-Dashboard!$Z$4&lt;=0,"Expired")</f>
        <v>Expired</v>
      </c>
      <c r="K148" s="10" t="str">
        <f ca="1">IF(Table2[[#This Row],[End Date]]-Dashboard!$Z$4&lt;=0,"Expired",Table2[[#This Row],[End Date]]-Dashboard!$Z$4)</f>
        <v>Expired</v>
      </c>
      <c r="L148" s="13" t="s">
        <v>46</v>
      </c>
      <c r="M148" s="10">
        <v>6</v>
      </c>
      <c r="N148" s="9" t="str" cm="1">
        <f t="array" ref="N148">_xlfn.IFS(Table2[[#This Row],[Claims Count]]&gt;=3,"High",Table2[[#This Row],[Claims Count]]&gt;=1,"Medium",Table2[[#This Row],[Claims Count]]=0,"None")</f>
        <v>High</v>
      </c>
      <c r="O148" s="9" cm="1">
        <f t="array" ref="O148">(_xlfn.IFS(Table2[[#This Row],[Risk Level ]]="High",3,Table2[[#This Row],[Risk Level ]]="Medium",2,Table2[[#This Row],[Risk Level ]]="Low",1))+(_xlfn.IFS(Table2[[#This Row],[ Claims Frequency ]]="High",3,Table2[[#This Row],[ Claims Frequency ]]="Medium",1,Table2[[#This Row],[ Claims Frequency ]]="None",0))</f>
        <v>5</v>
      </c>
      <c r="P148" s="24" t="str" cm="1">
        <f t="array" ref="P148">_xlfn.IFS(Table2[[#This Row],[Final Risk Score ]]&gt;=5,"High",Table2[[#This Row],[Final Risk Score ]]&gt;=3,"Medium",Table2[[#This Row],[Final Risk Score ]]&lt;=2,"Low")</f>
        <v>High</v>
      </c>
      <c r="R148"/>
      <c r="S148"/>
      <c r="T148"/>
      <c r="U148"/>
    </row>
    <row r="149" spans="1:21" x14ac:dyDescent="0.25">
      <c r="A149" s="9" t="s">
        <v>195</v>
      </c>
      <c r="B149" s="13" t="s">
        <v>63</v>
      </c>
      <c r="C149" s="9" t="s">
        <v>30</v>
      </c>
      <c r="D149" s="9" t="s">
        <v>38</v>
      </c>
      <c r="E149" s="9" t="s">
        <v>49</v>
      </c>
      <c r="F149" s="30">
        <v>37827</v>
      </c>
      <c r="G149" s="31">
        <v>6434048</v>
      </c>
      <c r="H149" s="22">
        <v>45744</v>
      </c>
      <c r="I149" s="22">
        <v>46238</v>
      </c>
      <c r="J149" s="9" t="str" cm="1">
        <f t="array" aca="1" ref="J149" ca="1">_xlfn.IFS(Table2[[#This Row],[End Date]]-Dashboard!$Z$4&gt;30, "Active",Table2[[#This Row],[End Date]]-Dashboard!$Z$4&gt;0,"Expiring Soon",Table2[[#This Row],[End Date]]-Dashboard!$Z$4&lt;=0,"Expired")</f>
        <v>Active</v>
      </c>
      <c r="K149" s="10">
        <f ca="1">IF(Table2[[#This Row],[End Date]]-Dashboard!$Z$4&lt;=0,"Expired",Table2[[#This Row],[End Date]]-Dashboard!$Z$4)</f>
        <v>91</v>
      </c>
      <c r="L149" s="13" t="s">
        <v>11</v>
      </c>
      <c r="M149" s="10">
        <v>2</v>
      </c>
      <c r="N149" s="9" t="str" cm="1">
        <f t="array" ref="N149">_xlfn.IFS(Table2[[#This Row],[Claims Count]]&gt;=3,"High",Table2[[#This Row],[Claims Count]]&gt;=1,"Medium",Table2[[#This Row],[Claims Count]]=0,"None")</f>
        <v>Medium</v>
      </c>
      <c r="O149" s="9" cm="1">
        <f t="array" ref="O149">(_xlfn.IFS(Table2[[#This Row],[Risk Level ]]="High",3,Table2[[#This Row],[Risk Level ]]="Medium",2,Table2[[#This Row],[Risk Level ]]="Low",1))+(_xlfn.IFS(Table2[[#This Row],[ Claims Frequency ]]="High",3,Table2[[#This Row],[ Claims Frequency ]]="Medium",1,Table2[[#This Row],[ Claims Frequency ]]="None",0))</f>
        <v>2</v>
      </c>
      <c r="P149" s="24" t="str" cm="1">
        <f t="array" ref="P149">_xlfn.IFS(Table2[[#This Row],[Final Risk Score ]]&gt;=5,"High",Table2[[#This Row],[Final Risk Score ]]&gt;=3,"Medium",Table2[[#This Row],[Final Risk Score ]]&lt;=2,"Low")</f>
        <v>Low</v>
      </c>
      <c r="R149"/>
      <c r="S149"/>
      <c r="T149"/>
      <c r="U149"/>
    </row>
    <row r="150" spans="1:21" x14ac:dyDescent="0.25">
      <c r="A150" s="9" t="s">
        <v>196</v>
      </c>
      <c r="B150" s="13" t="s">
        <v>14</v>
      </c>
      <c r="C150" s="9" t="s">
        <v>30</v>
      </c>
      <c r="D150" s="9" t="s">
        <v>41</v>
      </c>
      <c r="E150" s="9" t="s">
        <v>23</v>
      </c>
      <c r="F150" s="30">
        <v>39411</v>
      </c>
      <c r="G150" s="31">
        <v>1563621</v>
      </c>
      <c r="H150" s="22">
        <v>45692</v>
      </c>
      <c r="I150" s="22">
        <v>46101</v>
      </c>
      <c r="J150" s="9" t="str" cm="1">
        <f t="array" aca="1" ref="J150" ca="1">_xlfn.IFS(Table2[[#This Row],[End Date]]-Dashboard!$Z$4&gt;30, "Active",Table2[[#This Row],[End Date]]-Dashboard!$Z$4&gt;0,"Expiring Soon",Table2[[#This Row],[End Date]]-Dashboard!$Z$4&lt;=0,"Expired")</f>
        <v>Expired</v>
      </c>
      <c r="K150" s="10" t="str">
        <f ca="1">IF(Table2[[#This Row],[End Date]]-Dashboard!$Z$4&lt;=0,"Expired",Table2[[#This Row],[End Date]]-Dashboard!$Z$4)</f>
        <v>Expired</v>
      </c>
      <c r="L150" s="13" t="s">
        <v>46</v>
      </c>
      <c r="M150" s="10">
        <v>1</v>
      </c>
      <c r="N150" s="9" t="str" cm="1">
        <f t="array" ref="N150">_xlfn.IFS(Table2[[#This Row],[Claims Count]]&gt;=3,"High",Table2[[#This Row],[Claims Count]]&gt;=1,"Medium",Table2[[#This Row],[Claims Count]]=0,"None")</f>
        <v>Medium</v>
      </c>
      <c r="O150" s="9" cm="1">
        <f t="array" ref="O150">(_xlfn.IFS(Table2[[#This Row],[Risk Level ]]="High",3,Table2[[#This Row],[Risk Level ]]="Medium",2,Table2[[#This Row],[Risk Level ]]="Low",1))+(_xlfn.IFS(Table2[[#This Row],[ Claims Frequency ]]="High",3,Table2[[#This Row],[ Claims Frequency ]]="Medium",1,Table2[[#This Row],[ Claims Frequency ]]="None",0))</f>
        <v>3</v>
      </c>
      <c r="P150" s="24" t="str" cm="1">
        <f t="array" ref="P150">_xlfn.IFS(Table2[[#This Row],[Final Risk Score ]]&gt;=5,"High",Table2[[#This Row],[Final Risk Score ]]&gt;=3,"Medium",Table2[[#This Row],[Final Risk Score ]]&lt;=2,"Low")</f>
        <v>Medium</v>
      </c>
      <c r="R150"/>
      <c r="S150"/>
      <c r="T150"/>
      <c r="U150"/>
    </row>
    <row r="151" spans="1:21" x14ac:dyDescent="0.25">
      <c r="A151" s="9" t="s">
        <v>197</v>
      </c>
      <c r="B151" s="13" t="s">
        <v>59</v>
      </c>
      <c r="C151" s="9" t="s">
        <v>21</v>
      </c>
      <c r="D151" s="9" t="s">
        <v>31</v>
      </c>
      <c r="E151" s="9" t="s">
        <v>17</v>
      </c>
      <c r="F151" s="30">
        <v>18984</v>
      </c>
      <c r="G151" s="31">
        <v>4211454</v>
      </c>
      <c r="H151" s="22">
        <v>45794</v>
      </c>
      <c r="I151" s="22">
        <v>46120</v>
      </c>
      <c r="J151" s="9" t="str" cm="1">
        <f t="array" aca="1" ref="J151" ca="1">_xlfn.IFS(Table2[[#This Row],[End Date]]-Dashboard!$Z$4&gt;30, "Active",Table2[[#This Row],[End Date]]-Dashboard!$Z$4&gt;0,"Expiring Soon",Table2[[#This Row],[End Date]]-Dashboard!$Z$4&lt;=0,"Expired")</f>
        <v>Expired</v>
      </c>
      <c r="K151" s="10" t="str">
        <f ca="1">IF(Table2[[#This Row],[End Date]]-Dashboard!$Z$4&lt;=0,"Expired",Table2[[#This Row],[End Date]]-Dashboard!$Z$4)</f>
        <v>Expired</v>
      </c>
      <c r="L151" s="13" t="s">
        <v>11</v>
      </c>
      <c r="M151" s="10">
        <v>6</v>
      </c>
      <c r="N151" s="9" t="str" cm="1">
        <f t="array" ref="N151">_xlfn.IFS(Table2[[#This Row],[Claims Count]]&gt;=3,"High",Table2[[#This Row],[Claims Count]]&gt;=1,"Medium",Table2[[#This Row],[Claims Count]]=0,"None")</f>
        <v>High</v>
      </c>
      <c r="O151" s="9" cm="1">
        <f t="array" ref="O151">(_xlfn.IFS(Table2[[#This Row],[Risk Level ]]="High",3,Table2[[#This Row],[Risk Level ]]="Medium",2,Table2[[#This Row],[Risk Level ]]="Low",1))+(_xlfn.IFS(Table2[[#This Row],[ Claims Frequency ]]="High",3,Table2[[#This Row],[ Claims Frequency ]]="Medium",1,Table2[[#This Row],[ Claims Frequency ]]="None",0))</f>
        <v>4</v>
      </c>
      <c r="P151" s="24" t="str" cm="1">
        <f t="array" ref="P151">_xlfn.IFS(Table2[[#This Row],[Final Risk Score ]]&gt;=5,"High",Table2[[#This Row],[Final Risk Score ]]&gt;=3,"Medium",Table2[[#This Row],[Final Risk Score ]]&lt;=2,"Low")</f>
        <v>Medium</v>
      </c>
      <c r="R151"/>
      <c r="S151"/>
      <c r="T151"/>
      <c r="U151"/>
    </row>
    <row r="152" spans="1:21" x14ac:dyDescent="0.25">
      <c r="A152" s="9" t="s">
        <v>198</v>
      </c>
      <c r="B152" s="13" t="s">
        <v>43</v>
      </c>
      <c r="C152" s="9" t="s">
        <v>37</v>
      </c>
      <c r="D152" s="9" t="s">
        <v>22</v>
      </c>
      <c r="E152" s="9" t="s">
        <v>17</v>
      </c>
      <c r="F152" s="30">
        <v>14738</v>
      </c>
      <c r="G152" s="31">
        <v>9659532</v>
      </c>
      <c r="H152" s="22">
        <v>45889</v>
      </c>
      <c r="I152" s="22">
        <v>46029</v>
      </c>
      <c r="J152" s="9" t="str" cm="1">
        <f t="array" aca="1" ref="J152" ca="1">_xlfn.IFS(Table2[[#This Row],[End Date]]-Dashboard!$Z$4&gt;30, "Active",Table2[[#This Row],[End Date]]-Dashboard!$Z$4&gt;0,"Expiring Soon",Table2[[#This Row],[End Date]]-Dashboard!$Z$4&lt;=0,"Expired")</f>
        <v>Expired</v>
      </c>
      <c r="K152" s="10" t="str">
        <f ca="1">IF(Table2[[#This Row],[End Date]]-Dashboard!$Z$4&lt;=0,"Expired",Table2[[#This Row],[End Date]]-Dashboard!$Z$4)</f>
        <v>Expired</v>
      </c>
      <c r="L152" s="13" t="s">
        <v>46</v>
      </c>
      <c r="M152" s="10">
        <v>5</v>
      </c>
      <c r="N152" s="9" t="str" cm="1">
        <f t="array" ref="N152">_xlfn.IFS(Table2[[#This Row],[Claims Count]]&gt;=3,"High",Table2[[#This Row],[Claims Count]]&gt;=1,"Medium",Table2[[#This Row],[Claims Count]]=0,"None")</f>
        <v>High</v>
      </c>
      <c r="O152" s="9" cm="1">
        <f t="array" ref="O152">(_xlfn.IFS(Table2[[#This Row],[Risk Level ]]="High",3,Table2[[#This Row],[Risk Level ]]="Medium",2,Table2[[#This Row],[Risk Level ]]="Low",1))+(_xlfn.IFS(Table2[[#This Row],[ Claims Frequency ]]="High",3,Table2[[#This Row],[ Claims Frequency ]]="Medium",1,Table2[[#This Row],[ Claims Frequency ]]="None",0))</f>
        <v>5</v>
      </c>
      <c r="P152" s="24" t="str" cm="1">
        <f t="array" ref="P152">_xlfn.IFS(Table2[[#This Row],[Final Risk Score ]]&gt;=5,"High",Table2[[#This Row],[Final Risk Score ]]&gt;=3,"Medium",Table2[[#This Row],[Final Risk Score ]]&lt;=2,"Low")</f>
        <v>High</v>
      </c>
      <c r="R152"/>
      <c r="S152"/>
      <c r="T152"/>
      <c r="U152"/>
    </row>
    <row r="153" spans="1:21" x14ac:dyDescent="0.25">
      <c r="A153" s="9" t="s">
        <v>199</v>
      </c>
      <c r="B153" s="13" t="s">
        <v>29</v>
      </c>
      <c r="C153" s="9" t="s">
        <v>15</v>
      </c>
      <c r="D153" s="9" t="s">
        <v>22</v>
      </c>
      <c r="E153" s="9" t="s">
        <v>17</v>
      </c>
      <c r="F153" s="30">
        <v>39452</v>
      </c>
      <c r="G153" s="31">
        <v>1326175</v>
      </c>
      <c r="H153" s="22">
        <v>45674</v>
      </c>
      <c r="I153" s="22">
        <v>46337</v>
      </c>
      <c r="J153" s="9" t="str" cm="1">
        <f t="array" aca="1" ref="J153" ca="1">_xlfn.IFS(Table2[[#This Row],[End Date]]-Dashboard!$Z$4&gt;30, "Active",Table2[[#This Row],[End Date]]-Dashboard!$Z$4&gt;0,"Expiring Soon",Table2[[#This Row],[End Date]]-Dashboard!$Z$4&lt;=0,"Expired")</f>
        <v>Active</v>
      </c>
      <c r="K153" s="10">
        <f ca="1">IF(Table2[[#This Row],[End Date]]-Dashboard!$Z$4&lt;=0,"Expired",Table2[[#This Row],[End Date]]-Dashboard!$Z$4)</f>
        <v>190</v>
      </c>
      <c r="L153" s="13" t="s">
        <v>11</v>
      </c>
      <c r="M153" s="10">
        <v>4</v>
      </c>
      <c r="N153" s="9" t="str" cm="1">
        <f t="array" ref="N153">_xlfn.IFS(Table2[[#This Row],[Claims Count]]&gt;=3,"High",Table2[[#This Row],[Claims Count]]&gt;=1,"Medium",Table2[[#This Row],[Claims Count]]=0,"None")</f>
        <v>High</v>
      </c>
      <c r="O153" s="9" cm="1">
        <f t="array" ref="O153">(_xlfn.IFS(Table2[[#This Row],[Risk Level ]]="High",3,Table2[[#This Row],[Risk Level ]]="Medium",2,Table2[[#This Row],[Risk Level ]]="Low",1))+(_xlfn.IFS(Table2[[#This Row],[ Claims Frequency ]]="High",3,Table2[[#This Row],[ Claims Frequency ]]="Medium",1,Table2[[#This Row],[ Claims Frequency ]]="None",0))</f>
        <v>4</v>
      </c>
      <c r="P153" s="24" t="str" cm="1">
        <f t="array" ref="P153">_xlfn.IFS(Table2[[#This Row],[Final Risk Score ]]&gt;=5,"High",Table2[[#This Row],[Final Risk Score ]]&gt;=3,"Medium",Table2[[#This Row],[Final Risk Score ]]&lt;=2,"Low")</f>
        <v>Medium</v>
      </c>
      <c r="R153"/>
      <c r="S153"/>
      <c r="T153"/>
      <c r="U153"/>
    </row>
    <row r="154" spans="1:21" x14ac:dyDescent="0.25">
      <c r="A154" s="9" t="s">
        <v>200</v>
      </c>
      <c r="B154" s="13" t="s">
        <v>77</v>
      </c>
      <c r="C154" s="9" t="s">
        <v>37</v>
      </c>
      <c r="D154" s="9" t="s">
        <v>26</v>
      </c>
      <c r="E154" s="9" t="s">
        <v>49</v>
      </c>
      <c r="F154" s="30">
        <v>31717</v>
      </c>
      <c r="G154" s="31">
        <v>7030869</v>
      </c>
      <c r="H154" s="22">
        <v>45878</v>
      </c>
      <c r="I154" s="22">
        <v>46258</v>
      </c>
      <c r="J154" s="9" t="str" cm="1">
        <f t="array" aca="1" ref="J154" ca="1">_xlfn.IFS(Table2[[#This Row],[End Date]]-Dashboard!$Z$4&gt;30, "Active",Table2[[#This Row],[End Date]]-Dashboard!$Z$4&gt;0,"Expiring Soon",Table2[[#This Row],[End Date]]-Dashboard!$Z$4&lt;=0,"Expired")</f>
        <v>Active</v>
      </c>
      <c r="K154" s="10">
        <f ca="1">IF(Table2[[#This Row],[End Date]]-Dashboard!$Z$4&lt;=0,"Expired",Table2[[#This Row],[End Date]]-Dashboard!$Z$4)</f>
        <v>111</v>
      </c>
      <c r="L154" s="13" t="s">
        <v>46</v>
      </c>
      <c r="M154" s="10">
        <v>3</v>
      </c>
      <c r="N154" s="9" t="str" cm="1">
        <f t="array" ref="N154">_xlfn.IFS(Table2[[#This Row],[Claims Count]]&gt;=3,"High",Table2[[#This Row],[Claims Count]]&gt;=1,"Medium",Table2[[#This Row],[Claims Count]]=0,"None")</f>
        <v>High</v>
      </c>
      <c r="O154" s="9" cm="1">
        <f t="array" ref="O154">(_xlfn.IFS(Table2[[#This Row],[Risk Level ]]="High",3,Table2[[#This Row],[Risk Level ]]="Medium",2,Table2[[#This Row],[Risk Level ]]="Low",1))+(_xlfn.IFS(Table2[[#This Row],[ Claims Frequency ]]="High",3,Table2[[#This Row],[ Claims Frequency ]]="Medium",1,Table2[[#This Row],[ Claims Frequency ]]="None",0))</f>
        <v>5</v>
      </c>
      <c r="P154" s="24" t="str" cm="1">
        <f t="array" ref="P154">_xlfn.IFS(Table2[[#This Row],[Final Risk Score ]]&gt;=5,"High",Table2[[#This Row],[Final Risk Score ]]&gt;=3,"Medium",Table2[[#This Row],[Final Risk Score ]]&lt;=2,"Low")</f>
        <v>High</v>
      </c>
      <c r="R154"/>
      <c r="S154"/>
      <c r="T154"/>
      <c r="U154"/>
    </row>
    <row r="155" spans="1:21" x14ac:dyDescent="0.25">
      <c r="A155" s="9" t="s">
        <v>201</v>
      </c>
      <c r="B155" s="13" t="s">
        <v>56</v>
      </c>
      <c r="C155" s="9" t="s">
        <v>21</v>
      </c>
      <c r="D155" s="9" t="s">
        <v>22</v>
      </c>
      <c r="E155" s="9" t="s">
        <v>39</v>
      </c>
      <c r="F155" s="30">
        <v>33954</v>
      </c>
      <c r="G155" s="31">
        <v>9872303</v>
      </c>
      <c r="H155" s="22">
        <v>45736</v>
      </c>
      <c r="I155" s="22">
        <v>46174</v>
      </c>
      <c r="J155" s="9" t="str" cm="1">
        <f t="array" aca="1" ref="J155" ca="1">_xlfn.IFS(Table2[[#This Row],[End Date]]-Dashboard!$Z$4&gt;30, "Active",Table2[[#This Row],[End Date]]-Dashboard!$Z$4&gt;0,"Expiring Soon",Table2[[#This Row],[End Date]]-Dashboard!$Z$4&lt;=0,"Expired")</f>
        <v>Expiring Soon</v>
      </c>
      <c r="K155" s="10">
        <f ca="1">IF(Table2[[#This Row],[End Date]]-Dashboard!$Z$4&lt;=0,"Expired",Table2[[#This Row],[End Date]]-Dashboard!$Z$4)</f>
        <v>27</v>
      </c>
      <c r="L155" s="13" t="s">
        <v>46</v>
      </c>
      <c r="M155" s="10">
        <v>2</v>
      </c>
      <c r="N155" s="9" t="str" cm="1">
        <f t="array" ref="N155">_xlfn.IFS(Table2[[#This Row],[Claims Count]]&gt;=3,"High",Table2[[#This Row],[Claims Count]]&gt;=1,"Medium",Table2[[#This Row],[Claims Count]]=0,"None")</f>
        <v>Medium</v>
      </c>
      <c r="O155" s="9" cm="1">
        <f t="array" ref="O155">(_xlfn.IFS(Table2[[#This Row],[Risk Level ]]="High",3,Table2[[#This Row],[Risk Level ]]="Medium",2,Table2[[#This Row],[Risk Level ]]="Low",1))+(_xlfn.IFS(Table2[[#This Row],[ Claims Frequency ]]="High",3,Table2[[#This Row],[ Claims Frequency ]]="Medium",1,Table2[[#This Row],[ Claims Frequency ]]="None",0))</f>
        <v>3</v>
      </c>
      <c r="P155" s="24" t="str" cm="1">
        <f t="array" ref="P155">_xlfn.IFS(Table2[[#This Row],[Final Risk Score ]]&gt;=5,"High",Table2[[#This Row],[Final Risk Score ]]&gt;=3,"Medium",Table2[[#This Row],[Final Risk Score ]]&lt;=2,"Low")</f>
        <v>Medium</v>
      </c>
      <c r="R155"/>
      <c r="S155"/>
      <c r="T155"/>
      <c r="U155"/>
    </row>
    <row r="156" spans="1:21" x14ac:dyDescent="0.25">
      <c r="A156" s="9" t="s">
        <v>202</v>
      </c>
      <c r="B156" s="13" t="s">
        <v>103</v>
      </c>
      <c r="C156" s="9" t="s">
        <v>30</v>
      </c>
      <c r="D156" s="9" t="s">
        <v>48</v>
      </c>
      <c r="E156" s="9" t="s">
        <v>17</v>
      </c>
      <c r="F156" s="30">
        <v>39976</v>
      </c>
      <c r="G156" s="31">
        <v>7816856</v>
      </c>
      <c r="H156" s="22">
        <v>45671</v>
      </c>
      <c r="I156" s="22">
        <v>46138</v>
      </c>
      <c r="J156" s="9" t="str" cm="1">
        <f t="array" aca="1" ref="J156" ca="1">_xlfn.IFS(Table2[[#This Row],[End Date]]-Dashboard!$Z$4&gt;30, "Active",Table2[[#This Row],[End Date]]-Dashboard!$Z$4&gt;0,"Expiring Soon",Table2[[#This Row],[End Date]]-Dashboard!$Z$4&lt;=0,"Expired")</f>
        <v>Expired</v>
      </c>
      <c r="K156" s="10" t="str">
        <f ca="1">IF(Table2[[#This Row],[End Date]]-Dashboard!$Z$4&lt;=0,"Expired",Table2[[#This Row],[End Date]]-Dashboard!$Z$4)</f>
        <v>Expired</v>
      </c>
      <c r="L156" s="13" t="s">
        <v>18</v>
      </c>
      <c r="M156" s="10">
        <v>6</v>
      </c>
      <c r="N156" s="9" t="str" cm="1">
        <f t="array" ref="N156">_xlfn.IFS(Table2[[#This Row],[Claims Count]]&gt;=3,"High",Table2[[#This Row],[Claims Count]]&gt;=1,"Medium",Table2[[#This Row],[Claims Count]]=0,"None")</f>
        <v>High</v>
      </c>
      <c r="O156" s="9" cm="1">
        <f t="array" ref="O156">(_xlfn.IFS(Table2[[#This Row],[Risk Level ]]="High",3,Table2[[#This Row],[Risk Level ]]="Medium",2,Table2[[#This Row],[Risk Level ]]="Low",1))+(_xlfn.IFS(Table2[[#This Row],[ Claims Frequency ]]="High",3,Table2[[#This Row],[ Claims Frequency ]]="Medium",1,Table2[[#This Row],[ Claims Frequency ]]="None",0))</f>
        <v>6</v>
      </c>
      <c r="P156" s="24" t="str" cm="1">
        <f t="array" ref="P156">_xlfn.IFS(Table2[[#This Row],[Final Risk Score ]]&gt;=5,"High",Table2[[#This Row],[Final Risk Score ]]&gt;=3,"Medium",Table2[[#This Row],[Final Risk Score ]]&lt;=2,"Low")</f>
        <v>High</v>
      </c>
      <c r="R156"/>
      <c r="S156"/>
      <c r="T156"/>
      <c r="U156"/>
    </row>
    <row r="157" spans="1:21" x14ac:dyDescent="0.25">
      <c r="A157" s="9" t="s">
        <v>203</v>
      </c>
      <c r="B157" s="13" t="s">
        <v>33</v>
      </c>
      <c r="C157" s="9" t="s">
        <v>37</v>
      </c>
      <c r="D157" s="9" t="s">
        <v>38</v>
      </c>
      <c r="E157" s="9" t="s">
        <v>49</v>
      </c>
      <c r="F157" s="30">
        <v>36732</v>
      </c>
      <c r="G157" s="31">
        <v>4388706</v>
      </c>
      <c r="H157" s="22">
        <v>45951</v>
      </c>
      <c r="I157" s="22">
        <v>46108</v>
      </c>
      <c r="J157" s="9" t="str" cm="1">
        <f t="array" aca="1" ref="J157" ca="1">_xlfn.IFS(Table2[[#This Row],[End Date]]-Dashboard!$Z$4&gt;30, "Active",Table2[[#This Row],[End Date]]-Dashboard!$Z$4&gt;0,"Expiring Soon",Table2[[#This Row],[End Date]]-Dashboard!$Z$4&lt;=0,"Expired")</f>
        <v>Expired</v>
      </c>
      <c r="K157" s="10" t="str">
        <f ca="1">IF(Table2[[#This Row],[End Date]]-Dashboard!$Z$4&lt;=0,"Expired",Table2[[#This Row],[End Date]]-Dashboard!$Z$4)</f>
        <v>Expired</v>
      </c>
      <c r="L157" s="13" t="s">
        <v>11</v>
      </c>
      <c r="M157" s="10">
        <v>2</v>
      </c>
      <c r="N157" s="9" t="str" cm="1">
        <f t="array" ref="N157">_xlfn.IFS(Table2[[#This Row],[Claims Count]]&gt;=3,"High",Table2[[#This Row],[Claims Count]]&gt;=1,"Medium",Table2[[#This Row],[Claims Count]]=0,"None")</f>
        <v>Medium</v>
      </c>
      <c r="O157" s="9" cm="1">
        <f t="array" ref="O157">(_xlfn.IFS(Table2[[#This Row],[Risk Level ]]="High",3,Table2[[#This Row],[Risk Level ]]="Medium",2,Table2[[#This Row],[Risk Level ]]="Low",1))+(_xlfn.IFS(Table2[[#This Row],[ Claims Frequency ]]="High",3,Table2[[#This Row],[ Claims Frequency ]]="Medium",1,Table2[[#This Row],[ Claims Frequency ]]="None",0))</f>
        <v>2</v>
      </c>
      <c r="P157" s="24" t="str" cm="1">
        <f t="array" ref="P157">_xlfn.IFS(Table2[[#This Row],[Final Risk Score ]]&gt;=5,"High",Table2[[#This Row],[Final Risk Score ]]&gt;=3,"Medium",Table2[[#This Row],[Final Risk Score ]]&lt;=2,"Low")</f>
        <v>Low</v>
      </c>
      <c r="R157"/>
      <c r="S157"/>
      <c r="T157"/>
      <c r="U157"/>
    </row>
    <row r="158" spans="1:21" x14ac:dyDescent="0.25">
      <c r="A158" s="9" t="s">
        <v>204</v>
      </c>
      <c r="B158" s="13" t="s">
        <v>53</v>
      </c>
      <c r="C158" s="9" t="s">
        <v>30</v>
      </c>
      <c r="D158" s="9" t="s">
        <v>38</v>
      </c>
      <c r="E158" s="9" t="s">
        <v>49</v>
      </c>
      <c r="F158" s="30">
        <v>6984</v>
      </c>
      <c r="G158" s="31">
        <v>6853296</v>
      </c>
      <c r="H158" s="22">
        <v>45714</v>
      </c>
      <c r="I158" s="22">
        <v>46193</v>
      </c>
      <c r="J158" s="9" t="str" cm="1">
        <f t="array" aca="1" ref="J158" ca="1">_xlfn.IFS(Table2[[#This Row],[End Date]]-Dashboard!$Z$4&gt;30, "Active",Table2[[#This Row],[End Date]]-Dashboard!$Z$4&gt;0,"Expiring Soon",Table2[[#This Row],[End Date]]-Dashboard!$Z$4&lt;=0,"Expired")</f>
        <v>Active</v>
      </c>
      <c r="K158" s="10">
        <f ca="1">IF(Table2[[#This Row],[End Date]]-Dashboard!$Z$4&lt;=0,"Expired",Table2[[#This Row],[End Date]]-Dashboard!$Z$4)</f>
        <v>46</v>
      </c>
      <c r="L158" s="13" t="s">
        <v>18</v>
      </c>
      <c r="M158" s="10">
        <v>0</v>
      </c>
      <c r="N158" s="9" t="str" cm="1">
        <f t="array" ref="N158">_xlfn.IFS(Table2[[#This Row],[Claims Count]]&gt;=3,"High",Table2[[#This Row],[Claims Count]]&gt;=1,"Medium",Table2[[#This Row],[Claims Count]]=0,"None")</f>
        <v>None</v>
      </c>
      <c r="O158" s="9" cm="1">
        <f t="array" ref="O158">(_xlfn.IFS(Table2[[#This Row],[Risk Level ]]="High",3,Table2[[#This Row],[Risk Level ]]="Medium",2,Table2[[#This Row],[Risk Level ]]="Low",1))+(_xlfn.IFS(Table2[[#This Row],[ Claims Frequency ]]="High",3,Table2[[#This Row],[ Claims Frequency ]]="Medium",1,Table2[[#This Row],[ Claims Frequency ]]="None",0))</f>
        <v>3</v>
      </c>
      <c r="P158" s="24" t="str" cm="1">
        <f t="array" ref="P158">_xlfn.IFS(Table2[[#This Row],[Final Risk Score ]]&gt;=5,"High",Table2[[#This Row],[Final Risk Score ]]&gt;=3,"Medium",Table2[[#This Row],[Final Risk Score ]]&lt;=2,"Low")</f>
        <v>Medium</v>
      </c>
      <c r="R158"/>
      <c r="S158"/>
      <c r="T158"/>
      <c r="U158"/>
    </row>
    <row r="159" spans="1:21" x14ac:dyDescent="0.25">
      <c r="A159" s="9" t="s">
        <v>205</v>
      </c>
      <c r="B159" s="13" t="s">
        <v>145</v>
      </c>
      <c r="C159" s="9" t="s">
        <v>15</v>
      </c>
      <c r="D159" s="9" t="s">
        <v>26</v>
      </c>
      <c r="E159" s="9" t="s">
        <v>39</v>
      </c>
      <c r="F159" s="30">
        <v>21191</v>
      </c>
      <c r="G159" s="31">
        <v>823753</v>
      </c>
      <c r="H159" s="22">
        <v>45811</v>
      </c>
      <c r="I159" s="22">
        <v>46123</v>
      </c>
      <c r="J159" s="9" t="str" cm="1">
        <f t="array" aca="1" ref="J159" ca="1">_xlfn.IFS(Table2[[#This Row],[End Date]]-Dashboard!$Z$4&gt;30, "Active",Table2[[#This Row],[End Date]]-Dashboard!$Z$4&gt;0,"Expiring Soon",Table2[[#This Row],[End Date]]-Dashboard!$Z$4&lt;=0,"Expired")</f>
        <v>Expired</v>
      </c>
      <c r="K159" s="10" t="str">
        <f ca="1">IF(Table2[[#This Row],[End Date]]-Dashboard!$Z$4&lt;=0,"Expired",Table2[[#This Row],[End Date]]-Dashboard!$Z$4)</f>
        <v>Expired</v>
      </c>
      <c r="L159" s="13" t="s">
        <v>11</v>
      </c>
      <c r="M159" s="10">
        <v>6</v>
      </c>
      <c r="N159" s="9" t="str" cm="1">
        <f t="array" ref="N159">_xlfn.IFS(Table2[[#This Row],[Claims Count]]&gt;=3,"High",Table2[[#This Row],[Claims Count]]&gt;=1,"Medium",Table2[[#This Row],[Claims Count]]=0,"None")</f>
        <v>High</v>
      </c>
      <c r="O159" s="9" cm="1">
        <f t="array" ref="O159">(_xlfn.IFS(Table2[[#This Row],[Risk Level ]]="High",3,Table2[[#This Row],[Risk Level ]]="Medium",2,Table2[[#This Row],[Risk Level ]]="Low",1))+(_xlfn.IFS(Table2[[#This Row],[ Claims Frequency ]]="High",3,Table2[[#This Row],[ Claims Frequency ]]="Medium",1,Table2[[#This Row],[ Claims Frequency ]]="None",0))</f>
        <v>4</v>
      </c>
      <c r="P159" s="24" t="str" cm="1">
        <f t="array" ref="P159">_xlfn.IFS(Table2[[#This Row],[Final Risk Score ]]&gt;=5,"High",Table2[[#This Row],[Final Risk Score ]]&gt;=3,"Medium",Table2[[#This Row],[Final Risk Score ]]&lt;=2,"Low")</f>
        <v>Medium</v>
      </c>
      <c r="R159"/>
      <c r="S159"/>
      <c r="T159"/>
      <c r="U159"/>
    </row>
    <row r="160" spans="1:21" x14ac:dyDescent="0.25">
      <c r="A160" s="9" t="s">
        <v>206</v>
      </c>
      <c r="B160" s="13" t="s">
        <v>63</v>
      </c>
      <c r="C160" s="9" t="s">
        <v>21</v>
      </c>
      <c r="D160" s="9" t="s">
        <v>54</v>
      </c>
      <c r="E160" s="9" t="s">
        <v>23</v>
      </c>
      <c r="F160" s="30">
        <v>9388</v>
      </c>
      <c r="G160" s="31">
        <v>1340664</v>
      </c>
      <c r="H160" s="22">
        <v>45905</v>
      </c>
      <c r="I160" s="22">
        <v>46025</v>
      </c>
      <c r="J160" s="9" t="str" cm="1">
        <f t="array" aca="1" ref="J160" ca="1">_xlfn.IFS(Table2[[#This Row],[End Date]]-Dashboard!$Z$4&gt;30, "Active",Table2[[#This Row],[End Date]]-Dashboard!$Z$4&gt;0,"Expiring Soon",Table2[[#This Row],[End Date]]-Dashboard!$Z$4&lt;=0,"Expired")</f>
        <v>Expired</v>
      </c>
      <c r="K160" s="10" t="str">
        <f ca="1">IF(Table2[[#This Row],[End Date]]-Dashboard!$Z$4&lt;=0,"Expired",Table2[[#This Row],[End Date]]-Dashboard!$Z$4)</f>
        <v>Expired</v>
      </c>
      <c r="L160" s="13" t="s">
        <v>46</v>
      </c>
      <c r="M160" s="10">
        <v>1</v>
      </c>
      <c r="N160" s="9" t="str" cm="1">
        <f t="array" ref="N160">_xlfn.IFS(Table2[[#This Row],[Claims Count]]&gt;=3,"High",Table2[[#This Row],[Claims Count]]&gt;=1,"Medium",Table2[[#This Row],[Claims Count]]=0,"None")</f>
        <v>Medium</v>
      </c>
      <c r="O160" s="9" cm="1">
        <f t="array" ref="O160">(_xlfn.IFS(Table2[[#This Row],[Risk Level ]]="High",3,Table2[[#This Row],[Risk Level ]]="Medium",2,Table2[[#This Row],[Risk Level ]]="Low",1))+(_xlfn.IFS(Table2[[#This Row],[ Claims Frequency ]]="High",3,Table2[[#This Row],[ Claims Frequency ]]="Medium",1,Table2[[#This Row],[ Claims Frequency ]]="None",0))</f>
        <v>3</v>
      </c>
      <c r="P160" s="24" t="str" cm="1">
        <f t="array" ref="P160">_xlfn.IFS(Table2[[#This Row],[Final Risk Score ]]&gt;=5,"High",Table2[[#This Row],[Final Risk Score ]]&gt;=3,"Medium",Table2[[#This Row],[Final Risk Score ]]&lt;=2,"Low")</f>
        <v>Medium</v>
      </c>
      <c r="R160"/>
      <c r="S160"/>
      <c r="T160"/>
      <c r="U160"/>
    </row>
    <row r="161" spans="1:21" x14ac:dyDescent="0.25">
      <c r="A161" s="9" t="s">
        <v>207</v>
      </c>
      <c r="B161" s="13" t="s">
        <v>20</v>
      </c>
      <c r="C161" s="9" t="s">
        <v>21</v>
      </c>
      <c r="D161" s="9" t="s">
        <v>34</v>
      </c>
      <c r="E161" s="9" t="s">
        <v>23</v>
      </c>
      <c r="F161" s="30">
        <v>11298</v>
      </c>
      <c r="G161" s="31">
        <v>4933505</v>
      </c>
      <c r="H161" s="22">
        <v>45913</v>
      </c>
      <c r="I161" s="22">
        <v>46192</v>
      </c>
      <c r="J161" s="9" t="str" cm="1">
        <f t="array" aca="1" ref="J161" ca="1">_xlfn.IFS(Table2[[#This Row],[End Date]]-Dashboard!$Z$4&gt;30, "Active",Table2[[#This Row],[End Date]]-Dashboard!$Z$4&gt;0,"Expiring Soon",Table2[[#This Row],[End Date]]-Dashboard!$Z$4&lt;=0,"Expired")</f>
        <v>Active</v>
      </c>
      <c r="K161" s="10">
        <f ca="1">IF(Table2[[#This Row],[End Date]]-Dashboard!$Z$4&lt;=0,"Expired",Table2[[#This Row],[End Date]]-Dashboard!$Z$4)</f>
        <v>45</v>
      </c>
      <c r="L161" s="13" t="s">
        <v>18</v>
      </c>
      <c r="M161" s="10">
        <v>0</v>
      </c>
      <c r="N161" s="9" t="str" cm="1">
        <f t="array" ref="N161">_xlfn.IFS(Table2[[#This Row],[Claims Count]]&gt;=3,"High",Table2[[#This Row],[Claims Count]]&gt;=1,"Medium",Table2[[#This Row],[Claims Count]]=0,"None")</f>
        <v>None</v>
      </c>
      <c r="O161" s="9" cm="1">
        <f t="array" ref="O161">(_xlfn.IFS(Table2[[#This Row],[Risk Level ]]="High",3,Table2[[#This Row],[Risk Level ]]="Medium",2,Table2[[#This Row],[Risk Level ]]="Low",1))+(_xlfn.IFS(Table2[[#This Row],[ Claims Frequency ]]="High",3,Table2[[#This Row],[ Claims Frequency ]]="Medium",1,Table2[[#This Row],[ Claims Frequency ]]="None",0))</f>
        <v>3</v>
      </c>
      <c r="P161" s="24" t="str" cm="1">
        <f t="array" ref="P161">_xlfn.IFS(Table2[[#This Row],[Final Risk Score ]]&gt;=5,"High",Table2[[#This Row],[Final Risk Score ]]&gt;=3,"Medium",Table2[[#This Row],[Final Risk Score ]]&lt;=2,"Low")</f>
        <v>Medium</v>
      </c>
      <c r="R161"/>
      <c r="S161"/>
      <c r="T161"/>
      <c r="U161"/>
    </row>
    <row r="162" spans="1:21" x14ac:dyDescent="0.25">
      <c r="A162" s="9" t="s">
        <v>208</v>
      </c>
      <c r="B162" s="13" t="s">
        <v>51</v>
      </c>
      <c r="C162" s="9" t="s">
        <v>37</v>
      </c>
      <c r="D162" s="9" t="s">
        <v>16</v>
      </c>
      <c r="E162" s="9" t="s">
        <v>23</v>
      </c>
      <c r="F162" s="30">
        <v>12395</v>
      </c>
      <c r="G162" s="31">
        <v>9130450</v>
      </c>
      <c r="H162" s="22">
        <v>45671</v>
      </c>
      <c r="I162" s="22">
        <v>46160</v>
      </c>
      <c r="J162" s="9" t="str" cm="1">
        <f t="array" aca="1" ref="J162" ca="1">_xlfn.IFS(Table2[[#This Row],[End Date]]-Dashboard!$Z$4&gt;30, "Active",Table2[[#This Row],[End Date]]-Dashboard!$Z$4&gt;0,"Expiring Soon",Table2[[#This Row],[End Date]]-Dashboard!$Z$4&lt;=0,"Expired")</f>
        <v>Expiring Soon</v>
      </c>
      <c r="K162" s="10">
        <f ca="1">IF(Table2[[#This Row],[End Date]]-Dashboard!$Z$4&lt;=0,"Expired",Table2[[#This Row],[End Date]]-Dashboard!$Z$4)</f>
        <v>13</v>
      </c>
      <c r="L162" s="13" t="s">
        <v>11</v>
      </c>
      <c r="M162" s="10">
        <v>6</v>
      </c>
      <c r="N162" s="9" t="str" cm="1">
        <f t="array" ref="N162">_xlfn.IFS(Table2[[#This Row],[Claims Count]]&gt;=3,"High",Table2[[#This Row],[Claims Count]]&gt;=1,"Medium",Table2[[#This Row],[Claims Count]]=0,"None")</f>
        <v>High</v>
      </c>
      <c r="O162" s="9" cm="1">
        <f t="array" ref="O162">(_xlfn.IFS(Table2[[#This Row],[Risk Level ]]="High",3,Table2[[#This Row],[Risk Level ]]="Medium",2,Table2[[#This Row],[Risk Level ]]="Low",1))+(_xlfn.IFS(Table2[[#This Row],[ Claims Frequency ]]="High",3,Table2[[#This Row],[ Claims Frequency ]]="Medium",1,Table2[[#This Row],[ Claims Frequency ]]="None",0))</f>
        <v>4</v>
      </c>
      <c r="P162" s="24" t="str" cm="1">
        <f t="array" ref="P162">_xlfn.IFS(Table2[[#This Row],[Final Risk Score ]]&gt;=5,"High",Table2[[#This Row],[Final Risk Score ]]&gt;=3,"Medium",Table2[[#This Row],[Final Risk Score ]]&lt;=2,"Low")</f>
        <v>Medium</v>
      </c>
      <c r="R162"/>
      <c r="S162"/>
      <c r="T162"/>
      <c r="U162"/>
    </row>
    <row r="163" spans="1:21" x14ac:dyDescent="0.25">
      <c r="A163" s="9" t="s">
        <v>209</v>
      </c>
      <c r="B163" s="13" t="s">
        <v>56</v>
      </c>
      <c r="C163" s="9" t="s">
        <v>21</v>
      </c>
      <c r="D163" s="9" t="s">
        <v>22</v>
      </c>
      <c r="E163" s="9" t="s">
        <v>27</v>
      </c>
      <c r="F163" s="30">
        <v>12205</v>
      </c>
      <c r="G163" s="31">
        <v>1956133</v>
      </c>
      <c r="H163" s="22">
        <v>45826</v>
      </c>
      <c r="I163" s="22">
        <v>46276</v>
      </c>
      <c r="J163" s="9" t="str" cm="1">
        <f t="array" aca="1" ref="J163" ca="1">_xlfn.IFS(Table2[[#This Row],[End Date]]-Dashboard!$Z$4&gt;30, "Active",Table2[[#This Row],[End Date]]-Dashboard!$Z$4&gt;0,"Expiring Soon",Table2[[#This Row],[End Date]]-Dashboard!$Z$4&lt;=0,"Expired")</f>
        <v>Active</v>
      </c>
      <c r="K163" s="10">
        <f ca="1">IF(Table2[[#This Row],[End Date]]-Dashboard!$Z$4&lt;=0,"Expired",Table2[[#This Row],[End Date]]-Dashboard!$Z$4)</f>
        <v>129</v>
      </c>
      <c r="L163" s="13" t="s">
        <v>46</v>
      </c>
      <c r="M163" s="10">
        <v>2</v>
      </c>
      <c r="N163" s="9" t="str" cm="1">
        <f t="array" ref="N163">_xlfn.IFS(Table2[[#This Row],[Claims Count]]&gt;=3,"High",Table2[[#This Row],[Claims Count]]&gt;=1,"Medium",Table2[[#This Row],[Claims Count]]=0,"None")</f>
        <v>Medium</v>
      </c>
      <c r="O163" s="9" cm="1">
        <f t="array" ref="O163">(_xlfn.IFS(Table2[[#This Row],[Risk Level ]]="High",3,Table2[[#This Row],[Risk Level ]]="Medium",2,Table2[[#This Row],[Risk Level ]]="Low",1))+(_xlfn.IFS(Table2[[#This Row],[ Claims Frequency ]]="High",3,Table2[[#This Row],[ Claims Frequency ]]="Medium",1,Table2[[#This Row],[ Claims Frequency ]]="None",0))</f>
        <v>3</v>
      </c>
      <c r="P163" s="24" t="str" cm="1">
        <f t="array" ref="P163">_xlfn.IFS(Table2[[#This Row],[Final Risk Score ]]&gt;=5,"High",Table2[[#This Row],[Final Risk Score ]]&gt;=3,"Medium",Table2[[#This Row],[Final Risk Score ]]&lt;=2,"Low")</f>
        <v>Medium</v>
      </c>
      <c r="R163"/>
      <c r="S163"/>
      <c r="T163"/>
      <c r="U163"/>
    </row>
    <row r="164" spans="1:21" x14ac:dyDescent="0.25">
      <c r="A164" s="9" t="s">
        <v>210</v>
      </c>
      <c r="B164" s="13" t="s">
        <v>101</v>
      </c>
      <c r="C164" s="9" t="s">
        <v>30</v>
      </c>
      <c r="D164" s="9" t="s">
        <v>34</v>
      </c>
      <c r="E164" s="9" t="s">
        <v>27</v>
      </c>
      <c r="F164" s="30">
        <v>30120</v>
      </c>
      <c r="G164" s="31">
        <v>1687817</v>
      </c>
      <c r="H164" s="22">
        <v>45678</v>
      </c>
      <c r="I164" s="22">
        <v>46218</v>
      </c>
      <c r="J164" s="9" t="str" cm="1">
        <f t="array" aca="1" ref="J164" ca="1">_xlfn.IFS(Table2[[#This Row],[End Date]]-Dashboard!$Z$4&gt;30, "Active",Table2[[#This Row],[End Date]]-Dashboard!$Z$4&gt;0,"Expiring Soon",Table2[[#This Row],[End Date]]-Dashboard!$Z$4&lt;=0,"Expired")</f>
        <v>Active</v>
      </c>
      <c r="K164" s="10">
        <f ca="1">IF(Table2[[#This Row],[End Date]]-Dashboard!$Z$4&lt;=0,"Expired",Table2[[#This Row],[End Date]]-Dashboard!$Z$4)</f>
        <v>71</v>
      </c>
      <c r="L164" s="13" t="s">
        <v>18</v>
      </c>
      <c r="M164" s="10">
        <v>1</v>
      </c>
      <c r="N164" s="9" t="str" cm="1">
        <f t="array" ref="N164">_xlfn.IFS(Table2[[#This Row],[Claims Count]]&gt;=3,"High",Table2[[#This Row],[Claims Count]]&gt;=1,"Medium",Table2[[#This Row],[Claims Count]]=0,"None")</f>
        <v>Medium</v>
      </c>
      <c r="O164" s="9" cm="1">
        <f t="array" ref="O164">(_xlfn.IFS(Table2[[#This Row],[Risk Level ]]="High",3,Table2[[#This Row],[Risk Level ]]="Medium",2,Table2[[#This Row],[Risk Level ]]="Low",1))+(_xlfn.IFS(Table2[[#This Row],[ Claims Frequency ]]="High",3,Table2[[#This Row],[ Claims Frequency ]]="Medium",1,Table2[[#This Row],[ Claims Frequency ]]="None",0))</f>
        <v>4</v>
      </c>
      <c r="P164" s="24" t="str" cm="1">
        <f t="array" ref="P164">_xlfn.IFS(Table2[[#This Row],[Final Risk Score ]]&gt;=5,"High",Table2[[#This Row],[Final Risk Score ]]&gt;=3,"Medium",Table2[[#This Row],[Final Risk Score ]]&lt;=2,"Low")</f>
        <v>Medium</v>
      </c>
      <c r="R164"/>
      <c r="S164"/>
      <c r="T164"/>
      <c r="U164"/>
    </row>
    <row r="165" spans="1:21" x14ac:dyDescent="0.25">
      <c r="A165" s="9" t="s">
        <v>211</v>
      </c>
      <c r="B165" s="13" t="s">
        <v>43</v>
      </c>
      <c r="C165" s="9" t="s">
        <v>21</v>
      </c>
      <c r="D165" s="9" t="s">
        <v>31</v>
      </c>
      <c r="E165" s="9" t="s">
        <v>39</v>
      </c>
      <c r="F165" s="30">
        <v>29923</v>
      </c>
      <c r="G165" s="31">
        <v>1430177</v>
      </c>
      <c r="H165" s="22">
        <v>45971</v>
      </c>
      <c r="I165" s="22">
        <v>46137</v>
      </c>
      <c r="J165" s="9" t="str" cm="1">
        <f t="array" aca="1" ref="J165" ca="1">_xlfn.IFS(Table2[[#This Row],[End Date]]-Dashboard!$Z$4&gt;30, "Active",Table2[[#This Row],[End Date]]-Dashboard!$Z$4&gt;0,"Expiring Soon",Table2[[#This Row],[End Date]]-Dashboard!$Z$4&lt;=0,"Expired")</f>
        <v>Expired</v>
      </c>
      <c r="K165" s="10" t="str">
        <f ca="1">IF(Table2[[#This Row],[End Date]]-Dashboard!$Z$4&lt;=0,"Expired",Table2[[#This Row],[End Date]]-Dashboard!$Z$4)</f>
        <v>Expired</v>
      </c>
      <c r="L165" s="13" t="s">
        <v>18</v>
      </c>
      <c r="M165" s="10">
        <v>6</v>
      </c>
      <c r="N165" s="9" t="str" cm="1">
        <f t="array" ref="N165">_xlfn.IFS(Table2[[#This Row],[Claims Count]]&gt;=3,"High",Table2[[#This Row],[Claims Count]]&gt;=1,"Medium",Table2[[#This Row],[Claims Count]]=0,"None")</f>
        <v>High</v>
      </c>
      <c r="O165" s="9" cm="1">
        <f t="array" ref="O165">(_xlfn.IFS(Table2[[#This Row],[Risk Level ]]="High",3,Table2[[#This Row],[Risk Level ]]="Medium",2,Table2[[#This Row],[Risk Level ]]="Low",1))+(_xlfn.IFS(Table2[[#This Row],[ Claims Frequency ]]="High",3,Table2[[#This Row],[ Claims Frequency ]]="Medium",1,Table2[[#This Row],[ Claims Frequency ]]="None",0))</f>
        <v>6</v>
      </c>
      <c r="P165" s="24" t="str" cm="1">
        <f t="array" ref="P165">_xlfn.IFS(Table2[[#This Row],[Final Risk Score ]]&gt;=5,"High",Table2[[#This Row],[Final Risk Score ]]&gt;=3,"Medium",Table2[[#This Row],[Final Risk Score ]]&lt;=2,"Low")</f>
        <v>High</v>
      </c>
      <c r="R165"/>
      <c r="S165"/>
      <c r="T165"/>
      <c r="U165"/>
    </row>
    <row r="166" spans="1:21" x14ac:dyDescent="0.25">
      <c r="A166" s="9" t="s">
        <v>212</v>
      </c>
      <c r="B166" s="13" t="s">
        <v>45</v>
      </c>
      <c r="C166" s="9" t="s">
        <v>21</v>
      </c>
      <c r="D166" s="9" t="s">
        <v>31</v>
      </c>
      <c r="E166" s="9" t="s">
        <v>17</v>
      </c>
      <c r="F166" s="30">
        <v>23462</v>
      </c>
      <c r="G166" s="31">
        <v>2958677</v>
      </c>
      <c r="H166" s="22">
        <v>45840</v>
      </c>
      <c r="I166" s="22">
        <v>46114</v>
      </c>
      <c r="J166" s="9" t="str" cm="1">
        <f t="array" aca="1" ref="J166" ca="1">_xlfn.IFS(Table2[[#This Row],[End Date]]-Dashboard!$Z$4&gt;30, "Active",Table2[[#This Row],[End Date]]-Dashboard!$Z$4&gt;0,"Expiring Soon",Table2[[#This Row],[End Date]]-Dashboard!$Z$4&lt;=0,"Expired")</f>
        <v>Expired</v>
      </c>
      <c r="K166" s="10" t="str">
        <f ca="1">IF(Table2[[#This Row],[End Date]]-Dashboard!$Z$4&lt;=0,"Expired",Table2[[#This Row],[End Date]]-Dashboard!$Z$4)</f>
        <v>Expired</v>
      </c>
      <c r="L166" s="13" t="s">
        <v>11</v>
      </c>
      <c r="M166" s="10">
        <v>3</v>
      </c>
      <c r="N166" s="9" t="str" cm="1">
        <f t="array" ref="N166">_xlfn.IFS(Table2[[#This Row],[Claims Count]]&gt;=3,"High",Table2[[#This Row],[Claims Count]]&gt;=1,"Medium",Table2[[#This Row],[Claims Count]]=0,"None")</f>
        <v>High</v>
      </c>
      <c r="O166" s="9" cm="1">
        <f t="array" ref="O166">(_xlfn.IFS(Table2[[#This Row],[Risk Level ]]="High",3,Table2[[#This Row],[Risk Level ]]="Medium",2,Table2[[#This Row],[Risk Level ]]="Low",1))+(_xlfn.IFS(Table2[[#This Row],[ Claims Frequency ]]="High",3,Table2[[#This Row],[ Claims Frequency ]]="Medium",1,Table2[[#This Row],[ Claims Frequency ]]="None",0))</f>
        <v>4</v>
      </c>
      <c r="P166" s="24" t="str" cm="1">
        <f t="array" ref="P166">_xlfn.IFS(Table2[[#This Row],[Final Risk Score ]]&gt;=5,"High",Table2[[#This Row],[Final Risk Score ]]&gt;=3,"Medium",Table2[[#This Row],[Final Risk Score ]]&lt;=2,"Low")</f>
        <v>Medium</v>
      </c>
      <c r="R166"/>
      <c r="S166"/>
      <c r="T166"/>
      <c r="U166"/>
    </row>
    <row r="167" spans="1:21" x14ac:dyDescent="0.25">
      <c r="A167" s="9" t="s">
        <v>213</v>
      </c>
      <c r="B167" s="13" t="s">
        <v>77</v>
      </c>
      <c r="C167" s="9" t="s">
        <v>30</v>
      </c>
      <c r="D167" s="9" t="s">
        <v>22</v>
      </c>
      <c r="E167" s="9" t="s">
        <v>49</v>
      </c>
      <c r="F167" s="30">
        <v>37206</v>
      </c>
      <c r="G167" s="31">
        <v>8429361</v>
      </c>
      <c r="H167" s="22">
        <v>45966</v>
      </c>
      <c r="I167" s="22">
        <v>46242</v>
      </c>
      <c r="J167" s="9" t="str" cm="1">
        <f t="array" aca="1" ref="J167" ca="1">_xlfn.IFS(Table2[[#This Row],[End Date]]-Dashboard!$Z$4&gt;30, "Active",Table2[[#This Row],[End Date]]-Dashboard!$Z$4&gt;0,"Expiring Soon",Table2[[#This Row],[End Date]]-Dashboard!$Z$4&lt;=0,"Expired")</f>
        <v>Active</v>
      </c>
      <c r="K167" s="10">
        <f ca="1">IF(Table2[[#This Row],[End Date]]-Dashboard!$Z$4&lt;=0,"Expired",Table2[[#This Row],[End Date]]-Dashboard!$Z$4)</f>
        <v>95</v>
      </c>
      <c r="L167" s="13" t="s">
        <v>46</v>
      </c>
      <c r="M167" s="10">
        <v>3</v>
      </c>
      <c r="N167" s="9" t="str" cm="1">
        <f t="array" ref="N167">_xlfn.IFS(Table2[[#This Row],[Claims Count]]&gt;=3,"High",Table2[[#This Row],[Claims Count]]&gt;=1,"Medium",Table2[[#This Row],[Claims Count]]=0,"None")</f>
        <v>High</v>
      </c>
      <c r="O167" s="9" cm="1">
        <f t="array" ref="O167">(_xlfn.IFS(Table2[[#This Row],[Risk Level ]]="High",3,Table2[[#This Row],[Risk Level ]]="Medium",2,Table2[[#This Row],[Risk Level ]]="Low",1))+(_xlfn.IFS(Table2[[#This Row],[ Claims Frequency ]]="High",3,Table2[[#This Row],[ Claims Frequency ]]="Medium",1,Table2[[#This Row],[ Claims Frequency ]]="None",0))</f>
        <v>5</v>
      </c>
      <c r="P167" s="24" t="str" cm="1">
        <f t="array" ref="P167">_xlfn.IFS(Table2[[#This Row],[Final Risk Score ]]&gt;=5,"High",Table2[[#This Row],[Final Risk Score ]]&gt;=3,"Medium",Table2[[#This Row],[Final Risk Score ]]&lt;=2,"Low")</f>
        <v>High</v>
      </c>
      <c r="R167"/>
      <c r="S167"/>
      <c r="T167"/>
      <c r="U167"/>
    </row>
    <row r="168" spans="1:21" x14ac:dyDescent="0.25">
      <c r="A168" s="9" t="s">
        <v>214</v>
      </c>
      <c r="B168" s="13" t="s">
        <v>56</v>
      </c>
      <c r="C168" s="9" t="s">
        <v>30</v>
      </c>
      <c r="D168" s="9" t="s">
        <v>38</v>
      </c>
      <c r="E168" s="9" t="s">
        <v>39</v>
      </c>
      <c r="F168" s="30">
        <v>15496</v>
      </c>
      <c r="G168" s="31">
        <v>9910143</v>
      </c>
      <c r="H168" s="22">
        <v>45875</v>
      </c>
      <c r="I168" s="22">
        <v>46254</v>
      </c>
      <c r="J168" s="9" t="str" cm="1">
        <f t="array" aca="1" ref="J168" ca="1">_xlfn.IFS(Table2[[#This Row],[End Date]]-Dashboard!$Z$4&gt;30, "Active",Table2[[#This Row],[End Date]]-Dashboard!$Z$4&gt;0,"Expiring Soon",Table2[[#This Row],[End Date]]-Dashboard!$Z$4&lt;=0,"Expired")</f>
        <v>Active</v>
      </c>
      <c r="K168" s="10">
        <f ca="1">IF(Table2[[#This Row],[End Date]]-Dashboard!$Z$4&lt;=0,"Expired",Table2[[#This Row],[End Date]]-Dashboard!$Z$4)</f>
        <v>107</v>
      </c>
      <c r="L168" s="13" t="s">
        <v>18</v>
      </c>
      <c r="M168" s="10">
        <v>2</v>
      </c>
      <c r="N168" s="9" t="str" cm="1">
        <f t="array" ref="N168">_xlfn.IFS(Table2[[#This Row],[Claims Count]]&gt;=3,"High",Table2[[#This Row],[Claims Count]]&gt;=1,"Medium",Table2[[#This Row],[Claims Count]]=0,"None")</f>
        <v>Medium</v>
      </c>
      <c r="O168" s="9" cm="1">
        <f t="array" ref="O168">(_xlfn.IFS(Table2[[#This Row],[Risk Level ]]="High",3,Table2[[#This Row],[Risk Level ]]="Medium",2,Table2[[#This Row],[Risk Level ]]="Low",1))+(_xlfn.IFS(Table2[[#This Row],[ Claims Frequency ]]="High",3,Table2[[#This Row],[ Claims Frequency ]]="Medium",1,Table2[[#This Row],[ Claims Frequency ]]="None",0))</f>
        <v>4</v>
      </c>
      <c r="P168" s="24" t="str" cm="1">
        <f t="array" ref="P168">_xlfn.IFS(Table2[[#This Row],[Final Risk Score ]]&gt;=5,"High",Table2[[#This Row],[Final Risk Score ]]&gt;=3,"Medium",Table2[[#This Row],[Final Risk Score ]]&lt;=2,"Low")</f>
        <v>Medium</v>
      </c>
      <c r="R168"/>
      <c r="S168"/>
      <c r="T168"/>
      <c r="U168"/>
    </row>
    <row r="169" spans="1:21" x14ac:dyDescent="0.25">
      <c r="A169" s="9" t="s">
        <v>215</v>
      </c>
      <c r="B169" s="13" t="s">
        <v>25</v>
      </c>
      <c r="C169" s="9" t="s">
        <v>37</v>
      </c>
      <c r="D169" s="9" t="s">
        <v>54</v>
      </c>
      <c r="E169" s="9" t="s">
        <v>27</v>
      </c>
      <c r="F169" s="30">
        <v>31400</v>
      </c>
      <c r="G169" s="31">
        <v>6637422</v>
      </c>
      <c r="H169" s="22">
        <v>45750</v>
      </c>
      <c r="I169" s="22">
        <v>46088</v>
      </c>
      <c r="J169" s="9" t="str" cm="1">
        <f t="array" aca="1" ref="J169" ca="1">_xlfn.IFS(Table2[[#This Row],[End Date]]-Dashboard!$Z$4&gt;30, "Active",Table2[[#This Row],[End Date]]-Dashboard!$Z$4&gt;0,"Expiring Soon",Table2[[#This Row],[End Date]]-Dashboard!$Z$4&lt;=0,"Expired")</f>
        <v>Expired</v>
      </c>
      <c r="K169" s="10" t="str">
        <f ca="1">IF(Table2[[#This Row],[End Date]]-Dashboard!$Z$4&lt;=0,"Expired",Table2[[#This Row],[End Date]]-Dashboard!$Z$4)</f>
        <v>Expired</v>
      </c>
      <c r="L169" s="13" t="s">
        <v>11</v>
      </c>
      <c r="M169" s="10">
        <v>6</v>
      </c>
      <c r="N169" s="9" t="str" cm="1">
        <f t="array" ref="N169">_xlfn.IFS(Table2[[#This Row],[Claims Count]]&gt;=3,"High",Table2[[#This Row],[Claims Count]]&gt;=1,"Medium",Table2[[#This Row],[Claims Count]]=0,"None")</f>
        <v>High</v>
      </c>
      <c r="O169" s="9" cm="1">
        <f t="array" ref="O169">(_xlfn.IFS(Table2[[#This Row],[Risk Level ]]="High",3,Table2[[#This Row],[Risk Level ]]="Medium",2,Table2[[#This Row],[Risk Level ]]="Low",1))+(_xlfn.IFS(Table2[[#This Row],[ Claims Frequency ]]="High",3,Table2[[#This Row],[ Claims Frequency ]]="Medium",1,Table2[[#This Row],[ Claims Frequency ]]="None",0))</f>
        <v>4</v>
      </c>
      <c r="P169" s="24" t="str" cm="1">
        <f t="array" ref="P169">_xlfn.IFS(Table2[[#This Row],[Final Risk Score ]]&gt;=5,"High",Table2[[#This Row],[Final Risk Score ]]&gt;=3,"Medium",Table2[[#This Row],[Final Risk Score ]]&lt;=2,"Low")</f>
        <v>Medium</v>
      </c>
      <c r="R169"/>
      <c r="S169"/>
      <c r="T169"/>
      <c r="U169"/>
    </row>
    <row r="170" spans="1:21" x14ac:dyDescent="0.25">
      <c r="A170" s="9" t="s">
        <v>216</v>
      </c>
      <c r="B170" s="13" t="s">
        <v>43</v>
      </c>
      <c r="C170" s="9" t="s">
        <v>15</v>
      </c>
      <c r="D170" s="9" t="s">
        <v>57</v>
      </c>
      <c r="E170" s="9" t="s">
        <v>27</v>
      </c>
      <c r="F170" s="30">
        <v>32342</v>
      </c>
      <c r="G170" s="31">
        <v>3158246</v>
      </c>
      <c r="H170" s="22">
        <v>45879</v>
      </c>
      <c r="I170" s="22">
        <v>46252</v>
      </c>
      <c r="J170" s="9" t="str" cm="1">
        <f t="array" aca="1" ref="J170" ca="1">_xlfn.IFS(Table2[[#This Row],[End Date]]-Dashboard!$Z$4&gt;30, "Active",Table2[[#This Row],[End Date]]-Dashboard!$Z$4&gt;0,"Expiring Soon",Table2[[#This Row],[End Date]]-Dashboard!$Z$4&lt;=0,"Expired")</f>
        <v>Active</v>
      </c>
      <c r="K170" s="10">
        <f ca="1">IF(Table2[[#This Row],[End Date]]-Dashboard!$Z$4&lt;=0,"Expired",Table2[[#This Row],[End Date]]-Dashboard!$Z$4)</f>
        <v>105</v>
      </c>
      <c r="L170" s="13" t="s">
        <v>11</v>
      </c>
      <c r="M170" s="10">
        <v>4</v>
      </c>
      <c r="N170" s="9" t="str" cm="1">
        <f t="array" ref="N170">_xlfn.IFS(Table2[[#This Row],[Claims Count]]&gt;=3,"High",Table2[[#This Row],[Claims Count]]&gt;=1,"Medium",Table2[[#This Row],[Claims Count]]=0,"None")</f>
        <v>High</v>
      </c>
      <c r="O170" s="9" cm="1">
        <f t="array" ref="O170">(_xlfn.IFS(Table2[[#This Row],[Risk Level ]]="High",3,Table2[[#This Row],[Risk Level ]]="Medium",2,Table2[[#This Row],[Risk Level ]]="Low",1))+(_xlfn.IFS(Table2[[#This Row],[ Claims Frequency ]]="High",3,Table2[[#This Row],[ Claims Frequency ]]="Medium",1,Table2[[#This Row],[ Claims Frequency ]]="None",0))</f>
        <v>4</v>
      </c>
      <c r="P170" s="24" t="str" cm="1">
        <f t="array" ref="P170">_xlfn.IFS(Table2[[#This Row],[Final Risk Score ]]&gt;=5,"High",Table2[[#This Row],[Final Risk Score ]]&gt;=3,"Medium",Table2[[#This Row],[Final Risk Score ]]&lt;=2,"Low")</f>
        <v>Medium</v>
      </c>
      <c r="R170"/>
      <c r="S170"/>
      <c r="T170"/>
      <c r="U170"/>
    </row>
    <row r="171" spans="1:21" x14ac:dyDescent="0.25">
      <c r="A171" s="9" t="s">
        <v>217</v>
      </c>
      <c r="B171" s="13" t="s">
        <v>51</v>
      </c>
      <c r="C171" s="9" t="s">
        <v>15</v>
      </c>
      <c r="D171" s="9" t="s">
        <v>38</v>
      </c>
      <c r="E171" s="9" t="s">
        <v>27</v>
      </c>
      <c r="F171" s="30">
        <v>32320</v>
      </c>
      <c r="G171" s="31">
        <v>4952036</v>
      </c>
      <c r="H171" s="22">
        <v>45945</v>
      </c>
      <c r="I171" s="22">
        <v>46327</v>
      </c>
      <c r="J171" s="9" t="str" cm="1">
        <f t="array" aca="1" ref="J171" ca="1">_xlfn.IFS(Table2[[#This Row],[End Date]]-Dashboard!$Z$4&gt;30, "Active",Table2[[#This Row],[End Date]]-Dashboard!$Z$4&gt;0,"Expiring Soon",Table2[[#This Row],[End Date]]-Dashboard!$Z$4&lt;=0,"Expired")</f>
        <v>Active</v>
      </c>
      <c r="K171" s="10">
        <f ca="1">IF(Table2[[#This Row],[End Date]]-Dashboard!$Z$4&lt;=0,"Expired",Table2[[#This Row],[End Date]]-Dashboard!$Z$4)</f>
        <v>180</v>
      </c>
      <c r="L171" s="13" t="s">
        <v>46</v>
      </c>
      <c r="M171" s="10">
        <v>0</v>
      </c>
      <c r="N171" s="9" t="str" cm="1">
        <f t="array" ref="N171">_xlfn.IFS(Table2[[#This Row],[Claims Count]]&gt;=3,"High",Table2[[#This Row],[Claims Count]]&gt;=1,"Medium",Table2[[#This Row],[Claims Count]]=0,"None")</f>
        <v>None</v>
      </c>
      <c r="O171" s="9" cm="1">
        <f t="array" ref="O171">(_xlfn.IFS(Table2[[#This Row],[Risk Level ]]="High",3,Table2[[#This Row],[Risk Level ]]="Medium",2,Table2[[#This Row],[Risk Level ]]="Low",1))+(_xlfn.IFS(Table2[[#This Row],[ Claims Frequency ]]="High",3,Table2[[#This Row],[ Claims Frequency ]]="Medium",1,Table2[[#This Row],[ Claims Frequency ]]="None",0))</f>
        <v>2</v>
      </c>
      <c r="P171" s="24" t="str" cm="1">
        <f t="array" ref="P171">_xlfn.IFS(Table2[[#This Row],[Final Risk Score ]]&gt;=5,"High",Table2[[#This Row],[Final Risk Score ]]&gt;=3,"Medium",Table2[[#This Row],[Final Risk Score ]]&lt;=2,"Low")</f>
        <v>Low</v>
      </c>
      <c r="R171"/>
      <c r="S171"/>
      <c r="T171"/>
      <c r="U171"/>
    </row>
    <row r="172" spans="1:21" x14ac:dyDescent="0.25">
      <c r="A172" s="9" t="s">
        <v>218</v>
      </c>
      <c r="B172" s="13" t="s">
        <v>14</v>
      </c>
      <c r="C172" s="9" t="s">
        <v>15</v>
      </c>
      <c r="D172" s="9" t="s">
        <v>22</v>
      </c>
      <c r="E172" s="9" t="s">
        <v>17</v>
      </c>
      <c r="F172" s="30">
        <v>13512</v>
      </c>
      <c r="G172" s="31">
        <v>6083382</v>
      </c>
      <c r="H172" s="22">
        <v>45700</v>
      </c>
      <c r="I172" s="22">
        <v>46343</v>
      </c>
      <c r="J172" s="9" t="str" cm="1">
        <f t="array" aca="1" ref="J172" ca="1">_xlfn.IFS(Table2[[#This Row],[End Date]]-Dashboard!$Z$4&gt;30, "Active",Table2[[#This Row],[End Date]]-Dashboard!$Z$4&gt;0,"Expiring Soon",Table2[[#This Row],[End Date]]-Dashboard!$Z$4&lt;=0,"Expired")</f>
        <v>Active</v>
      </c>
      <c r="K172" s="10">
        <f ca="1">IF(Table2[[#This Row],[End Date]]-Dashboard!$Z$4&lt;=0,"Expired",Table2[[#This Row],[End Date]]-Dashboard!$Z$4)</f>
        <v>196</v>
      </c>
      <c r="L172" s="13" t="s">
        <v>46</v>
      </c>
      <c r="M172" s="10">
        <v>4</v>
      </c>
      <c r="N172" s="9" t="str" cm="1">
        <f t="array" ref="N172">_xlfn.IFS(Table2[[#This Row],[Claims Count]]&gt;=3,"High",Table2[[#This Row],[Claims Count]]&gt;=1,"Medium",Table2[[#This Row],[Claims Count]]=0,"None")</f>
        <v>High</v>
      </c>
      <c r="O172" s="9" cm="1">
        <f t="array" ref="O172">(_xlfn.IFS(Table2[[#This Row],[Risk Level ]]="High",3,Table2[[#This Row],[Risk Level ]]="Medium",2,Table2[[#This Row],[Risk Level ]]="Low",1))+(_xlfn.IFS(Table2[[#This Row],[ Claims Frequency ]]="High",3,Table2[[#This Row],[ Claims Frequency ]]="Medium",1,Table2[[#This Row],[ Claims Frequency ]]="None",0))</f>
        <v>5</v>
      </c>
      <c r="P172" s="24" t="str" cm="1">
        <f t="array" ref="P172">_xlfn.IFS(Table2[[#This Row],[Final Risk Score ]]&gt;=5,"High",Table2[[#This Row],[Final Risk Score ]]&gt;=3,"Medium",Table2[[#This Row],[Final Risk Score ]]&lt;=2,"Low")</f>
        <v>High</v>
      </c>
      <c r="R172"/>
      <c r="S172"/>
      <c r="T172"/>
      <c r="U172"/>
    </row>
    <row r="173" spans="1:21" x14ac:dyDescent="0.25">
      <c r="A173" s="9" t="s">
        <v>219</v>
      </c>
      <c r="B173" s="13" t="s">
        <v>59</v>
      </c>
      <c r="C173" s="9" t="s">
        <v>37</v>
      </c>
      <c r="D173" s="9" t="s">
        <v>22</v>
      </c>
      <c r="E173" s="9" t="s">
        <v>23</v>
      </c>
      <c r="F173" s="30">
        <v>9028</v>
      </c>
      <c r="G173" s="31">
        <v>1278027</v>
      </c>
      <c r="H173" s="22">
        <v>45699</v>
      </c>
      <c r="I173" s="22">
        <v>46283</v>
      </c>
      <c r="J173" s="9" t="str" cm="1">
        <f t="array" aca="1" ref="J173" ca="1">_xlfn.IFS(Table2[[#This Row],[End Date]]-Dashboard!$Z$4&gt;30, "Active",Table2[[#This Row],[End Date]]-Dashboard!$Z$4&gt;0,"Expiring Soon",Table2[[#This Row],[End Date]]-Dashboard!$Z$4&lt;=0,"Expired")</f>
        <v>Active</v>
      </c>
      <c r="K173" s="10">
        <f ca="1">IF(Table2[[#This Row],[End Date]]-Dashboard!$Z$4&lt;=0,"Expired",Table2[[#This Row],[End Date]]-Dashboard!$Z$4)</f>
        <v>136</v>
      </c>
      <c r="L173" s="13" t="s">
        <v>46</v>
      </c>
      <c r="M173" s="10">
        <v>1</v>
      </c>
      <c r="N173" s="9" t="str" cm="1">
        <f t="array" ref="N173">_xlfn.IFS(Table2[[#This Row],[Claims Count]]&gt;=3,"High",Table2[[#This Row],[Claims Count]]&gt;=1,"Medium",Table2[[#This Row],[Claims Count]]=0,"None")</f>
        <v>Medium</v>
      </c>
      <c r="O173" s="9" cm="1">
        <f t="array" ref="O173">(_xlfn.IFS(Table2[[#This Row],[Risk Level ]]="High",3,Table2[[#This Row],[Risk Level ]]="Medium",2,Table2[[#This Row],[Risk Level ]]="Low",1))+(_xlfn.IFS(Table2[[#This Row],[ Claims Frequency ]]="High",3,Table2[[#This Row],[ Claims Frequency ]]="Medium",1,Table2[[#This Row],[ Claims Frequency ]]="None",0))</f>
        <v>3</v>
      </c>
      <c r="P173" s="24" t="str" cm="1">
        <f t="array" ref="P173">_xlfn.IFS(Table2[[#This Row],[Final Risk Score ]]&gt;=5,"High",Table2[[#This Row],[Final Risk Score ]]&gt;=3,"Medium",Table2[[#This Row],[Final Risk Score ]]&lt;=2,"Low")</f>
        <v>Medium</v>
      </c>
      <c r="R173"/>
      <c r="S173"/>
      <c r="T173"/>
      <c r="U173"/>
    </row>
    <row r="174" spans="1:21" x14ac:dyDescent="0.25">
      <c r="A174" s="9" t="s">
        <v>220</v>
      </c>
      <c r="B174" s="13" t="s">
        <v>77</v>
      </c>
      <c r="C174" s="9" t="s">
        <v>15</v>
      </c>
      <c r="D174" s="9" t="s">
        <v>22</v>
      </c>
      <c r="E174" s="9" t="s">
        <v>23</v>
      </c>
      <c r="F174" s="30">
        <v>7301</v>
      </c>
      <c r="G174" s="31">
        <v>3116324</v>
      </c>
      <c r="H174" s="22">
        <v>45939</v>
      </c>
      <c r="I174" s="22">
        <v>46167</v>
      </c>
      <c r="J174" s="9" t="str" cm="1">
        <f t="array" aca="1" ref="J174" ca="1">_xlfn.IFS(Table2[[#This Row],[End Date]]-Dashboard!$Z$4&gt;30, "Active",Table2[[#This Row],[End Date]]-Dashboard!$Z$4&gt;0,"Expiring Soon",Table2[[#This Row],[End Date]]-Dashboard!$Z$4&lt;=0,"Expired")</f>
        <v>Expiring Soon</v>
      </c>
      <c r="K174" s="10">
        <f ca="1">IF(Table2[[#This Row],[End Date]]-Dashboard!$Z$4&lt;=0,"Expired",Table2[[#This Row],[End Date]]-Dashboard!$Z$4)</f>
        <v>20</v>
      </c>
      <c r="L174" s="13" t="s">
        <v>18</v>
      </c>
      <c r="M174" s="10">
        <v>3</v>
      </c>
      <c r="N174" s="9" t="str" cm="1">
        <f t="array" ref="N174">_xlfn.IFS(Table2[[#This Row],[Claims Count]]&gt;=3,"High",Table2[[#This Row],[Claims Count]]&gt;=1,"Medium",Table2[[#This Row],[Claims Count]]=0,"None")</f>
        <v>High</v>
      </c>
      <c r="O174" s="9" cm="1">
        <f t="array" ref="O174">(_xlfn.IFS(Table2[[#This Row],[Risk Level ]]="High",3,Table2[[#This Row],[Risk Level ]]="Medium",2,Table2[[#This Row],[Risk Level ]]="Low",1))+(_xlfn.IFS(Table2[[#This Row],[ Claims Frequency ]]="High",3,Table2[[#This Row],[ Claims Frequency ]]="Medium",1,Table2[[#This Row],[ Claims Frequency ]]="None",0))</f>
        <v>6</v>
      </c>
      <c r="P174" s="24" t="str" cm="1">
        <f t="array" ref="P174">_xlfn.IFS(Table2[[#This Row],[Final Risk Score ]]&gt;=5,"High",Table2[[#This Row],[Final Risk Score ]]&gt;=3,"Medium",Table2[[#This Row],[Final Risk Score ]]&lt;=2,"Low")</f>
        <v>High</v>
      </c>
      <c r="R174"/>
      <c r="S174"/>
      <c r="T174"/>
      <c r="U174"/>
    </row>
    <row r="175" spans="1:21" x14ac:dyDescent="0.25">
      <c r="A175" s="9" t="s">
        <v>221</v>
      </c>
      <c r="B175" s="13" t="s">
        <v>53</v>
      </c>
      <c r="C175" s="9" t="s">
        <v>15</v>
      </c>
      <c r="D175" s="9" t="s">
        <v>54</v>
      </c>
      <c r="E175" s="9" t="s">
        <v>27</v>
      </c>
      <c r="F175" s="30">
        <v>38789</v>
      </c>
      <c r="G175" s="31">
        <v>8032719</v>
      </c>
      <c r="H175" s="22">
        <v>45955</v>
      </c>
      <c r="I175" s="22">
        <v>46143</v>
      </c>
      <c r="J175" s="9" t="str" cm="1">
        <f t="array" aca="1" ref="J175" ca="1">_xlfn.IFS(Table2[[#This Row],[End Date]]-Dashboard!$Z$4&gt;30, "Active",Table2[[#This Row],[End Date]]-Dashboard!$Z$4&gt;0,"Expiring Soon",Table2[[#This Row],[End Date]]-Dashboard!$Z$4&lt;=0,"Expired")</f>
        <v>Expired</v>
      </c>
      <c r="K175" s="10" t="str">
        <f ca="1">IF(Table2[[#This Row],[End Date]]-Dashboard!$Z$4&lt;=0,"Expired",Table2[[#This Row],[End Date]]-Dashboard!$Z$4)</f>
        <v>Expired</v>
      </c>
      <c r="L175" s="13" t="s">
        <v>18</v>
      </c>
      <c r="M175" s="10">
        <v>2</v>
      </c>
      <c r="N175" s="9" t="str" cm="1">
        <f t="array" ref="N175">_xlfn.IFS(Table2[[#This Row],[Claims Count]]&gt;=3,"High",Table2[[#This Row],[Claims Count]]&gt;=1,"Medium",Table2[[#This Row],[Claims Count]]=0,"None")</f>
        <v>Medium</v>
      </c>
      <c r="O175" s="9" cm="1">
        <f t="array" ref="O175">(_xlfn.IFS(Table2[[#This Row],[Risk Level ]]="High",3,Table2[[#This Row],[Risk Level ]]="Medium",2,Table2[[#This Row],[Risk Level ]]="Low",1))+(_xlfn.IFS(Table2[[#This Row],[ Claims Frequency ]]="High",3,Table2[[#This Row],[ Claims Frequency ]]="Medium",1,Table2[[#This Row],[ Claims Frequency ]]="None",0))</f>
        <v>4</v>
      </c>
      <c r="P175" s="24" t="str" cm="1">
        <f t="array" ref="P175">_xlfn.IFS(Table2[[#This Row],[Final Risk Score ]]&gt;=5,"High",Table2[[#This Row],[Final Risk Score ]]&gt;=3,"Medium",Table2[[#This Row],[Final Risk Score ]]&lt;=2,"Low")</f>
        <v>Medium</v>
      </c>
      <c r="R175"/>
      <c r="S175"/>
      <c r="T175"/>
      <c r="U175"/>
    </row>
    <row r="176" spans="1:21" x14ac:dyDescent="0.25">
      <c r="A176" s="9" t="s">
        <v>222</v>
      </c>
      <c r="B176" s="13" t="s">
        <v>56</v>
      </c>
      <c r="C176" s="9" t="s">
        <v>15</v>
      </c>
      <c r="D176" s="9" t="s">
        <v>41</v>
      </c>
      <c r="E176" s="9" t="s">
        <v>17</v>
      </c>
      <c r="F176" s="30">
        <v>15918</v>
      </c>
      <c r="G176" s="31">
        <v>7374749</v>
      </c>
      <c r="H176" s="22">
        <v>45678</v>
      </c>
      <c r="I176" s="22">
        <v>46379</v>
      </c>
      <c r="J176" s="9" t="str" cm="1">
        <f t="array" aca="1" ref="J176" ca="1">_xlfn.IFS(Table2[[#This Row],[End Date]]-Dashboard!$Z$4&gt;30, "Active",Table2[[#This Row],[End Date]]-Dashboard!$Z$4&gt;0,"Expiring Soon",Table2[[#This Row],[End Date]]-Dashboard!$Z$4&lt;=0,"Expired")</f>
        <v>Active</v>
      </c>
      <c r="K176" s="10">
        <f ca="1">IF(Table2[[#This Row],[End Date]]-Dashboard!$Z$4&lt;=0,"Expired",Table2[[#This Row],[End Date]]-Dashboard!$Z$4)</f>
        <v>232</v>
      </c>
      <c r="L176" s="13" t="s">
        <v>18</v>
      </c>
      <c r="M176" s="10">
        <v>1</v>
      </c>
      <c r="N176" s="9" t="str" cm="1">
        <f t="array" ref="N176">_xlfn.IFS(Table2[[#This Row],[Claims Count]]&gt;=3,"High",Table2[[#This Row],[Claims Count]]&gt;=1,"Medium",Table2[[#This Row],[Claims Count]]=0,"None")</f>
        <v>Medium</v>
      </c>
      <c r="O176" s="9" cm="1">
        <f t="array" ref="O176">(_xlfn.IFS(Table2[[#This Row],[Risk Level ]]="High",3,Table2[[#This Row],[Risk Level ]]="Medium",2,Table2[[#This Row],[Risk Level ]]="Low",1))+(_xlfn.IFS(Table2[[#This Row],[ Claims Frequency ]]="High",3,Table2[[#This Row],[ Claims Frequency ]]="Medium",1,Table2[[#This Row],[ Claims Frequency ]]="None",0))</f>
        <v>4</v>
      </c>
      <c r="P176" s="24" t="str" cm="1">
        <f t="array" ref="P176">_xlfn.IFS(Table2[[#This Row],[Final Risk Score ]]&gt;=5,"High",Table2[[#This Row],[Final Risk Score ]]&gt;=3,"Medium",Table2[[#This Row],[Final Risk Score ]]&lt;=2,"Low")</f>
        <v>Medium</v>
      </c>
      <c r="R176"/>
      <c r="S176"/>
      <c r="T176"/>
      <c r="U176"/>
    </row>
    <row r="177" spans="1:21" x14ac:dyDescent="0.25">
      <c r="A177" s="9" t="s">
        <v>223</v>
      </c>
      <c r="B177" s="13" t="s">
        <v>29</v>
      </c>
      <c r="C177" s="9" t="s">
        <v>37</v>
      </c>
      <c r="D177" s="9" t="s">
        <v>34</v>
      </c>
      <c r="E177" s="9" t="s">
        <v>23</v>
      </c>
      <c r="F177" s="30">
        <v>36667</v>
      </c>
      <c r="G177" s="31">
        <v>7689818</v>
      </c>
      <c r="H177" s="22">
        <v>45854</v>
      </c>
      <c r="I177" s="22">
        <v>46087</v>
      </c>
      <c r="J177" s="9" t="str" cm="1">
        <f t="array" aca="1" ref="J177" ca="1">_xlfn.IFS(Table2[[#This Row],[End Date]]-Dashboard!$Z$4&gt;30, "Active",Table2[[#This Row],[End Date]]-Dashboard!$Z$4&gt;0,"Expiring Soon",Table2[[#This Row],[End Date]]-Dashboard!$Z$4&lt;=0,"Expired")</f>
        <v>Expired</v>
      </c>
      <c r="K177" s="10" t="str">
        <f ca="1">IF(Table2[[#This Row],[End Date]]-Dashboard!$Z$4&lt;=0,"Expired",Table2[[#This Row],[End Date]]-Dashboard!$Z$4)</f>
        <v>Expired</v>
      </c>
      <c r="L177" s="13" t="s">
        <v>46</v>
      </c>
      <c r="M177" s="10">
        <v>4</v>
      </c>
      <c r="N177" s="9" t="str" cm="1">
        <f t="array" ref="N177">_xlfn.IFS(Table2[[#This Row],[Claims Count]]&gt;=3,"High",Table2[[#This Row],[Claims Count]]&gt;=1,"Medium",Table2[[#This Row],[Claims Count]]=0,"None")</f>
        <v>High</v>
      </c>
      <c r="O177" s="9" cm="1">
        <f t="array" ref="O177">(_xlfn.IFS(Table2[[#This Row],[Risk Level ]]="High",3,Table2[[#This Row],[Risk Level ]]="Medium",2,Table2[[#This Row],[Risk Level ]]="Low",1))+(_xlfn.IFS(Table2[[#This Row],[ Claims Frequency ]]="High",3,Table2[[#This Row],[ Claims Frequency ]]="Medium",1,Table2[[#This Row],[ Claims Frequency ]]="None",0))</f>
        <v>5</v>
      </c>
      <c r="P177" s="24" t="str" cm="1">
        <f t="array" ref="P177">_xlfn.IFS(Table2[[#This Row],[Final Risk Score ]]&gt;=5,"High",Table2[[#This Row],[Final Risk Score ]]&gt;=3,"Medium",Table2[[#This Row],[Final Risk Score ]]&lt;=2,"Low")</f>
        <v>High</v>
      </c>
      <c r="R177"/>
      <c r="S177"/>
      <c r="T177"/>
      <c r="U177"/>
    </row>
    <row r="178" spans="1:21" x14ac:dyDescent="0.25">
      <c r="A178" s="9" t="s">
        <v>224</v>
      </c>
      <c r="B178" s="13" t="s">
        <v>33</v>
      </c>
      <c r="C178" s="9" t="s">
        <v>37</v>
      </c>
      <c r="D178" s="9" t="s">
        <v>54</v>
      </c>
      <c r="E178" s="9" t="s">
        <v>39</v>
      </c>
      <c r="F178" s="30">
        <v>29026</v>
      </c>
      <c r="G178" s="31">
        <v>3756419</v>
      </c>
      <c r="H178" s="22">
        <v>45936</v>
      </c>
      <c r="I178" s="22">
        <v>46030</v>
      </c>
      <c r="J178" s="9" t="str" cm="1">
        <f t="array" aca="1" ref="J178" ca="1">_xlfn.IFS(Table2[[#This Row],[End Date]]-Dashboard!$Z$4&gt;30, "Active",Table2[[#This Row],[End Date]]-Dashboard!$Z$4&gt;0,"Expiring Soon",Table2[[#This Row],[End Date]]-Dashboard!$Z$4&lt;=0,"Expired")</f>
        <v>Expired</v>
      </c>
      <c r="K178" s="10" t="str">
        <f ca="1">IF(Table2[[#This Row],[End Date]]-Dashboard!$Z$4&lt;=0,"Expired",Table2[[#This Row],[End Date]]-Dashboard!$Z$4)</f>
        <v>Expired</v>
      </c>
      <c r="L178" s="13" t="s">
        <v>46</v>
      </c>
      <c r="M178" s="10">
        <v>4</v>
      </c>
      <c r="N178" s="9" t="str" cm="1">
        <f t="array" ref="N178">_xlfn.IFS(Table2[[#This Row],[Claims Count]]&gt;=3,"High",Table2[[#This Row],[Claims Count]]&gt;=1,"Medium",Table2[[#This Row],[Claims Count]]=0,"None")</f>
        <v>High</v>
      </c>
      <c r="O178" s="9" cm="1">
        <f t="array" ref="O178">(_xlfn.IFS(Table2[[#This Row],[Risk Level ]]="High",3,Table2[[#This Row],[Risk Level ]]="Medium",2,Table2[[#This Row],[Risk Level ]]="Low",1))+(_xlfn.IFS(Table2[[#This Row],[ Claims Frequency ]]="High",3,Table2[[#This Row],[ Claims Frequency ]]="Medium",1,Table2[[#This Row],[ Claims Frequency ]]="None",0))</f>
        <v>5</v>
      </c>
      <c r="P178" s="24" t="str" cm="1">
        <f t="array" ref="P178">_xlfn.IFS(Table2[[#This Row],[Final Risk Score ]]&gt;=5,"High",Table2[[#This Row],[Final Risk Score ]]&gt;=3,"Medium",Table2[[#This Row],[Final Risk Score ]]&lt;=2,"Low")</f>
        <v>High</v>
      </c>
      <c r="R178"/>
      <c r="S178"/>
      <c r="T178"/>
      <c r="U178"/>
    </row>
    <row r="179" spans="1:21" x14ac:dyDescent="0.25">
      <c r="A179" s="9" t="s">
        <v>225</v>
      </c>
      <c r="B179" s="13" t="s">
        <v>20</v>
      </c>
      <c r="C179" s="9" t="s">
        <v>30</v>
      </c>
      <c r="D179" s="9" t="s">
        <v>57</v>
      </c>
      <c r="E179" s="9" t="s">
        <v>39</v>
      </c>
      <c r="F179" s="30">
        <v>38181</v>
      </c>
      <c r="G179" s="31">
        <v>8219875</v>
      </c>
      <c r="H179" s="22">
        <v>45886</v>
      </c>
      <c r="I179" s="22">
        <v>46249</v>
      </c>
      <c r="J179" s="9" t="str" cm="1">
        <f t="array" aca="1" ref="J179" ca="1">_xlfn.IFS(Table2[[#This Row],[End Date]]-Dashboard!$Z$4&gt;30, "Active",Table2[[#This Row],[End Date]]-Dashboard!$Z$4&gt;0,"Expiring Soon",Table2[[#This Row],[End Date]]-Dashboard!$Z$4&lt;=0,"Expired")</f>
        <v>Active</v>
      </c>
      <c r="K179" s="10">
        <f ca="1">IF(Table2[[#This Row],[End Date]]-Dashboard!$Z$4&lt;=0,"Expired",Table2[[#This Row],[End Date]]-Dashboard!$Z$4)</f>
        <v>102</v>
      </c>
      <c r="L179" s="13" t="s">
        <v>18</v>
      </c>
      <c r="M179" s="10">
        <v>0</v>
      </c>
      <c r="N179" s="9" t="str" cm="1">
        <f t="array" ref="N179">_xlfn.IFS(Table2[[#This Row],[Claims Count]]&gt;=3,"High",Table2[[#This Row],[Claims Count]]&gt;=1,"Medium",Table2[[#This Row],[Claims Count]]=0,"None")</f>
        <v>None</v>
      </c>
      <c r="O179" s="9" cm="1">
        <f t="array" ref="O179">(_xlfn.IFS(Table2[[#This Row],[Risk Level ]]="High",3,Table2[[#This Row],[Risk Level ]]="Medium",2,Table2[[#This Row],[Risk Level ]]="Low",1))+(_xlfn.IFS(Table2[[#This Row],[ Claims Frequency ]]="High",3,Table2[[#This Row],[ Claims Frequency ]]="Medium",1,Table2[[#This Row],[ Claims Frequency ]]="None",0))</f>
        <v>3</v>
      </c>
      <c r="P179" s="24" t="str" cm="1">
        <f t="array" ref="P179">_xlfn.IFS(Table2[[#This Row],[Final Risk Score ]]&gt;=5,"High",Table2[[#This Row],[Final Risk Score ]]&gt;=3,"Medium",Table2[[#This Row],[Final Risk Score ]]&lt;=2,"Low")</f>
        <v>Medium</v>
      </c>
      <c r="R179"/>
      <c r="S179"/>
      <c r="T179"/>
      <c r="U179"/>
    </row>
    <row r="180" spans="1:21" x14ac:dyDescent="0.25">
      <c r="A180" s="9" t="s">
        <v>226</v>
      </c>
      <c r="B180" s="13" t="s">
        <v>103</v>
      </c>
      <c r="C180" s="9" t="s">
        <v>37</v>
      </c>
      <c r="D180" s="9" t="s">
        <v>31</v>
      </c>
      <c r="E180" s="9" t="s">
        <v>17</v>
      </c>
      <c r="F180" s="30">
        <v>26909</v>
      </c>
      <c r="G180" s="31">
        <v>5576593</v>
      </c>
      <c r="H180" s="22">
        <v>45718</v>
      </c>
      <c r="I180" s="22">
        <v>46159</v>
      </c>
      <c r="J180" s="9" t="str" cm="1">
        <f t="array" aca="1" ref="J180" ca="1">_xlfn.IFS(Table2[[#This Row],[End Date]]-Dashboard!$Z$4&gt;30, "Active",Table2[[#This Row],[End Date]]-Dashboard!$Z$4&gt;0,"Expiring Soon",Table2[[#This Row],[End Date]]-Dashboard!$Z$4&lt;=0,"Expired")</f>
        <v>Expiring Soon</v>
      </c>
      <c r="K180" s="10">
        <f ca="1">IF(Table2[[#This Row],[End Date]]-Dashboard!$Z$4&lt;=0,"Expired",Table2[[#This Row],[End Date]]-Dashboard!$Z$4)</f>
        <v>12</v>
      </c>
      <c r="L180" s="13" t="s">
        <v>18</v>
      </c>
      <c r="M180" s="10">
        <v>4</v>
      </c>
      <c r="N180" s="9" t="str" cm="1">
        <f t="array" ref="N180">_xlfn.IFS(Table2[[#This Row],[Claims Count]]&gt;=3,"High",Table2[[#This Row],[Claims Count]]&gt;=1,"Medium",Table2[[#This Row],[Claims Count]]=0,"None")</f>
        <v>High</v>
      </c>
      <c r="O180" s="9" cm="1">
        <f t="array" ref="O180">(_xlfn.IFS(Table2[[#This Row],[Risk Level ]]="High",3,Table2[[#This Row],[Risk Level ]]="Medium",2,Table2[[#This Row],[Risk Level ]]="Low",1))+(_xlfn.IFS(Table2[[#This Row],[ Claims Frequency ]]="High",3,Table2[[#This Row],[ Claims Frequency ]]="Medium",1,Table2[[#This Row],[ Claims Frequency ]]="None",0))</f>
        <v>6</v>
      </c>
      <c r="P180" s="24" t="str" cm="1">
        <f t="array" ref="P180">_xlfn.IFS(Table2[[#This Row],[Final Risk Score ]]&gt;=5,"High",Table2[[#This Row],[Final Risk Score ]]&gt;=3,"Medium",Table2[[#This Row],[Final Risk Score ]]&lt;=2,"Low")</f>
        <v>High</v>
      </c>
      <c r="R180"/>
      <c r="S180"/>
      <c r="T180"/>
      <c r="U180"/>
    </row>
    <row r="181" spans="1:21" x14ac:dyDescent="0.25">
      <c r="A181" s="9" t="s">
        <v>227</v>
      </c>
      <c r="B181" s="13" t="s">
        <v>63</v>
      </c>
      <c r="C181" s="9" t="s">
        <v>21</v>
      </c>
      <c r="D181" s="9" t="s">
        <v>54</v>
      </c>
      <c r="E181" s="9" t="s">
        <v>49</v>
      </c>
      <c r="F181" s="30">
        <v>14323</v>
      </c>
      <c r="G181" s="31">
        <v>8254588</v>
      </c>
      <c r="H181" s="22">
        <v>45942</v>
      </c>
      <c r="I181" s="22">
        <v>46085</v>
      </c>
      <c r="J181" s="9" t="str" cm="1">
        <f t="array" aca="1" ref="J181" ca="1">_xlfn.IFS(Table2[[#This Row],[End Date]]-Dashboard!$Z$4&gt;30, "Active",Table2[[#This Row],[End Date]]-Dashboard!$Z$4&gt;0,"Expiring Soon",Table2[[#This Row],[End Date]]-Dashboard!$Z$4&lt;=0,"Expired")</f>
        <v>Expired</v>
      </c>
      <c r="K181" s="10" t="str">
        <f ca="1">IF(Table2[[#This Row],[End Date]]-Dashboard!$Z$4&lt;=0,"Expired",Table2[[#This Row],[End Date]]-Dashboard!$Z$4)</f>
        <v>Expired</v>
      </c>
      <c r="L181" s="13" t="s">
        <v>18</v>
      </c>
      <c r="M181" s="10">
        <v>0</v>
      </c>
      <c r="N181" s="9" t="str" cm="1">
        <f t="array" ref="N181">_xlfn.IFS(Table2[[#This Row],[Claims Count]]&gt;=3,"High",Table2[[#This Row],[Claims Count]]&gt;=1,"Medium",Table2[[#This Row],[Claims Count]]=0,"None")</f>
        <v>None</v>
      </c>
      <c r="O181" s="9" cm="1">
        <f t="array" ref="O181">(_xlfn.IFS(Table2[[#This Row],[Risk Level ]]="High",3,Table2[[#This Row],[Risk Level ]]="Medium",2,Table2[[#This Row],[Risk Level ]]="Low",1))+(_xlfn.IFS(Table2[[#This Row],[ Claims Frequency ]]="High",3,Table2[[#This Row],[ Claims Frequency ]]="Medium",1,Table2[[#This Row],[ Claims Frequency ]]="None",0))</f>
        <v>3</v>
      </c>
      <c r="P181" s="24" t="str" cm="1">
        <f t="array" ref="P181">_xlfn.IFS(Table2[[#This Row],[Final Risk Score ]]&gt;=5,"High",Table2[[#This Row],[Final Risk Score ]]&gt;=3,"Medium",Table2[[#This Row],[Final Risk Score ]]&lt;=2,"Low")</f>
        <v>Medium</v>
      </c>
      <c r="R181"/>
      <c r="S181"/>
      <c r="T181"/>
      <c r="U181"/>
    </row>
    <row r="182" spans="1:21" x14ac:dyDescent="0.25">
      <c r="A182" s="9" t="s">
        <v>228</v>
      </c>
      <c r="B182" s="13" t="s">
        <v>20</v>
      </c>
      <c r="C182" s="9" t="s">
        <v>30</v>
      </c>
      <c r="D182" s="9" t="s">
        <v>41</v>
      </c>
      <c r="E182" s="9" t="s">
        <v>39</v>
      </c>
      <c r="F182" s="30">
        <v>36425</v>
      </c>
      <c r="G182" s="31">
        <v>7939756</v>
      </c>
      <c r="H182" s="22">
        <v>45918</v>
      </c>
      <c r="I182" s="22">
        <v>46335</v>
      </c>
      <c r="J182" s="9" t="str" cm="1">
        <f t="array" aca="1" ref="J182" ca="1">_xlfn.IFS(Table2[[#This Row],[End Date]]-Dashboard!$Z$4&gt;30, "Active",Table2[[#This Row],[End Date]]-Dashboard!$Z$4&gt;0,"Expiring Soon",Table2[[#This Row],[End Date]]-Dashboard!$Z$4&lt;=0,"Expired")</f>
        <v>Active</v>
      </c>
      <c r="K182" s="10">
        <f ca="1">IF(Table2[[#This Row],[End Date]]-Dashboard!$Z$4&lt;=0,"Expired",Table2[[#This Row],[End Date]]-Dashboard!$Z$4)</f>
        <v>188</v>
      </c>
      <c r="L182" s="13" t="s">
        <v>11</v>
      </c>
      <c r="M182" s="10">
        <v>4</v>
      </c>
      <c r="N182" s="9" t="str" cm="1">
        <f t="array" ref="N182">_xlfn.IFS(Table2[[#This Row],[Claims Count]]&gt;=3,"High",Table2[[#This Row],[Claims Count]]&gt;=1,"Medium",Table2[[#This Row],[Claims Count]]=0,"None")</f>
        <v>High</v>
      </c>
      <c r="O182" s="9" cm="1">
        <f t="array" ref="O182">(_xlfn.IFS(Table2[[#This Row],[Risk Level ]]="High",3,Table2[[#This Row],[Risk Level ]]="Medium",2,Table2[[#This Row],[Risk Level ]]="Low",1))+(_xlfn.IFS(Table2[[#This Row],[ Claims Frequency ]]="High",3,Table2[[#This Row],[ Claims Frequency ]]="Medium",1,Table2[[#This Row],[ Claims Frequency ]]="None",0))</f>
        <v>4</v>
      </c>
      <c r="P182" s="24" t="str" cm="1">
        <f t="array" ref="P182">_xlfn.IFS(Table2[[#This Row],[Final Risk Score ]]&gt;=5,"High",Table2[[#This Row],[Final Risk Score ]]&gt;=3,"Medium",Table2[[#This Row],[Final Risk Score ]]&lt;=2,"Low")</f>
        <v>Medium</v>
      </c>
      <c r="R182"/>
      <c r="S182"/>
      <c r="T182"/>
      <c r="U182"/>
    </row>
    <row r="183" spans="1:21" x14ac:dyDescent="0.25">
      <c r="A183" s="9" t="s">
        <v>229</v>
      </c>
      <c r="B183" s="13" t="s">
        <v>33</v>
      </c>
      <c r="C183" s="9" t="s">
        <v>21</v>
      </c>
      <c r="D183" s="9" t="s">
        <v>38</v>
      </c>
      <c r="E183" s="9" t="s">
        <v>49</v>
      </c>
      <c r="F183" s="30">
        <v>26439</v>
      </c>
      <c r="G183" s="31">
        <v>4162293</v>
      </c>
      <c r="H183" s="22">
        <v>45827</v>
      </c>
      <c r="I183" s="22">
        <v>46198</v>
      </c>
      <c r="J183" s="9" t="str" cm="1">
        <f t="array" aca="1" ref="J183" ca="1">_xlfn.IFS(Table2[[#This Row],[End Date]]-Dashboard!$Z$4&gt;30, "Active",Table2[[#This Row],[End Date]]-Dashboard!$Z$4&gt;0,"Expiring Soon",Table2[[#This Row],[End Date]]-Dashboard!$Z$4&lt;=0,"Expired")</f>
        <v>Active</v>
      </c>
      <c r="K183" s="10">
        <f ca="1">IF(Table2[[#This Row],[End Date]]-Dashboard!$Z$4&lt;=0,"Expired",Table2[[#This Row],[End Date]]-Dashboard!$Z$4)</f>
        <v>51</v>
      </c>
      <c r="L183" s="13" t="s">
        <v>46</v>
      </c>
      <c r="M183" s="10">
        <v>2</v>
      </c>
      <c r="N183" s="9" t="str" cm="1">
        <f t="array" ref="N183">_xlfn.IFS(Table2[[#This Row],[Claims Count]]&gt;=3,"High",Table2[[#This Row],[Claims Count]]&gt;=1,"Medium",Table2[[#This Row],[Claims Count]]=0,"None")</f>
        <v>Medium</v>
      </c>
      <c r="O183" s="9" cm="1">
        <f t="array" ref="O183">(_xlfn.IFS(Table2[[#This Row],[Risk Level ]]="High",3,Table2[[#This Row],[Risk Level ]]="Medium",2,Table2[[#This Row],[Risk Level ]]="Low",1))+(_xlfn.IFS(Table2[[#This Row],[ Claims Frequency ]]="High",3,Table2[[#This Row],[ Claims Frequency ]]="Medium",1,Table2[[#This Row],[ Claims Frequency ]]="None",0))</f>
        <v>3</v>
      </c>
      <c r="P183" s="24" t="str" cm="1">
        <f t="array" ref="P183">_xlfn.IFS(Table2[[#This Row],[Final Risk Score ]]&gt;=5,"High",Table2[[#This Row],[Final Risk Score ]]&gt;=3,"Medium",Table2[[#This Row],[Final Risk Score ]]&lt;=2,"Low")</f>
        <v>Medium</v>
      </c>
      <c r="R183"/>
      <c r="S183"/>
      <c r="T183"/>
      <c r="U183"/>
    </row>
    <row r="184" spans="1:21" x14ac:dyDescent="0.25">
      <c r="A184" s="9" t="s">
        <v>230</v>
      </c>
      <c r="B184" s="13" t="s">
        <v>45</v>
      </c>
      <c r="C184" s="9" t="s">
        <v>21</v>
      </c>
      <c r="D184" s="9" t="s">
        <v>26</v>
      </c>
      <c r="E184" s="9" t="s">
        <v>27</v>
      </c>
      <c r="F184" s="30">
        <v>22082</v>
      </c>
      <c r="G184" s="31">
        <v>840731</v>
      </c>
      <c r="H184" s="22">
        <v>45941</v>
      </c>
      <c r="I184" s="22">
        <v>46243</v>
      </c>
      <c r="J184" s="9" t="str" cm="1">
        <f t="array" aca="1" ref="J184" ca="1">_xlfn.IFS(Table2[[#This Row],[End Date]]-Dashboard!$Z$4&gt;30, "Active",Table2[[#This Row],[End Date]]-Dashboard!$Z$4&gt;0,"Expiring Soon",Table2[[#This Row],[End Date]]-Dashboard!$Z$4&lt;=0,"Expired")</f>
        <v>Active</v>
      </c>
      <c r="K184" s="10">
        <f ca="1">IF(Table2[[#This Row],[End Date]]-Dashboard!$Z$4&lt;=0,"Expired",Table2[[#This Row],[End Date]]-Dashboard!$Z$4)</f>
        <v>96</v>
      </c>
      <c r="L184" s="13" t="s">
        <v>18</v>
      </c>
      <c r="M184" s="10">
        <v>4</v>
      </c>
      <c r="N184" s="9" t="str" cm="1">
        <f t="array" ref="N184">_xlfn.IFS(Table2[[#This Row],[Claims Count]]&gt;=3,"High",Table2[[#This Row],[Claims Count]]&gt;=1,"Medium",Table2[[#This Row],[Claims Count]]=0,"None")</f>
        <v>High</v>
      </c>
      <c r="O184" s="9" cm="1">
        <f t="array" ref="O184">(_xlfn.IFS(Table2[[#This Row],[Risk Level ]]="High",3,Table2[[#This Row],[Risk Level ]]="Medium",2,Table2[[#This Row],[Risk Level ]]="Low",1))+(_xlfn.IFS(Table2[[#This Row],[ Claims Frequency ]]="High",3,Table2[[#This Row],[ Claims Frequency ]]="Medium",1,Table2[[#This Row],[ Claims Frequency ]]="None",0))</f>
        <v>6</v>
      </c>
      <c r="P184" s="24" t="str" cm="1">
        <f t="array" ref="P184">_xlfn.IFS(Table2[[#This Row],[Final Risk Score ]]&gt;=5,"High",Table2[[#This Row],[Final Risk Score ]]&gt;=3,"Medium",Table2[[#This Row],[Final Risk Score ]]&lt;=2,"Low")</f>
        <v>High</v>
      </c>
      <c r="R184"/>
      <c r="S184"/>
      <c r="T184"/>
      <c r="U184"/>
    </row>
    <row r="185" spans="1:21" x14ac:dyDescent="0.25">
      <c r="A185" s="9" t="s">
        <v>231</v>
      </c>
      <c r="B185" s="13" t="s">
        <v>25</v>
      </c>
      <c r="C185" s="9" t="s">
        <v>15</v>
      </c>
      <c r="D185" s="9" t="s">
        <v>38</v>
      </c>
      <c r="E185" s="9" t="s">
        <v>49</v>
      </c>
      <c r="F185" s="30">
        <v>17550</v>
      </c>
      <c r="G185" s="31">
        <v>2194251</v>
      </c>
      <c r="H185" s="22">
        <v>45663</v>
      </c>
      <c r="I185" s="22">
        <v>46165</v>
      </c>
      <c r="J185" s="9" t="str" cm="1">
        <f t="array" aca="1" ref="J185" ca="1">_xlfn.IFS(Table2[[#This Row],[End Date]]-Dashboard!$Z$4&gt;30, "Active",Table2[[#This Row],[End Date]]-Dashboard!$Z$4&gt;0,"Expiring Soon",Table2[[#This Row],[End Date]]-Dashboard!$Z$4&lt;=0,"Expired")</f>
        <v>Expiring Soon</v>
      </c>
      <c r="K185" s="10">
        <f ca="1">IF(Table2[[#This Row],[End Date]]-Dashboard!$Z$4&lt;=0,"Expired",Table2[[#This Row],[End Date]]-Dashboard!$Z$4)</f>
        <v>18</v>
      </c>
      <c r="L185" s="13" t="s">
        <v>46</v>
      </c>
      <c r="M185" s="10">
        <v>2</v>
      </c>
      <c r="N185" s="9" t="str" cm="1">
        <f t="array" ref="N185">_xlfn.IFS(Table2[[#This Row],[Claims Count]]&gt;=3,"High",Table2[[#This Row],[Claims Count]]&gt;=1,"Medium",Table2[[#This Row],[Claims Count]]=0,"None")</f>
        <v>Medium</v>
      </c>
      <c r="O185" s="9" cm="1">
        <f t="array" ref="O185">(_xlfn.IFS(Table2[[#This Row],[Risk Level ]]="High",3,Table2[[#This Row],[Risk Level ]]="Medium",2,Table2[[#This Row],[Risk Level ]]="Low",1))+(_xlfn.IFS(Table2[[#This Row],[ Claims Frequency ]]="High",3,Table2[[#This Row],[ Claims Frequency ]]="Medium",1,Table2[[#This Row],[ Claims Frequency ]]="None",0))</f>
        <v>3</v>
      </c>
      <c r="P185" s="24" t="str" cm="1">
        <f t="array" ref="P185">_xlfn.IFS(Table2[[#This Row],[Final Risk Score ]]&gt;=5,"High",Table2[[#This Row],[Final Risk Score ]]&gt;=3,"Medium",Table2[[#This Row],[Final Risk Score ]]&lt;=2,"Low")</f>
        <v>Medium</v>
      </c>
      <c r="R185"/>
      <c r="S185"/>
      <c r="T185"/>
      <c r="U185"/>
    </row>
    <row r="186" spans="1:21" x14ac:dyDescent="0.25">
      <c r="A186" s="9" t="s">
        <v>232</v>
      </c>
      <c r="B186" s="13" t="s">
        <v>14</v>
      </c>
      <c r="C186" s="9" t="s">
        <v>30</v>
      </c>
      <c r="D186" s="9" t="s">
        <v>26</v>
      </c>
      <c r="E186" s="9" t="s">
        <v>39</v>
      </c>
      <c r="F186" s="30">
        <v>37883</v>
      </c>
      <c r="G186" s="31">
        <v>4697386</v>
      </c>
      <c r="H186" s="22">
        <v>45858</v>
      </c>
      <c r="I186" s="22">
        <v>46226</v>
      </c>
      <c r="J186" s="9" t="str" cm="1">
        <f t="array" aca="1" ref="J186" ca="1">_xlfn.IFS(Table2[[#This Row],[End Date]]-Dashboard!$Z$4&gt;30, "Active",Table2[[#This Row],[End Date]]-Dashboard!$Z$4&gt;0,"Expiring Soon",Table2[[#This Row],[End Date]]-Dashboard!$Z$4&lt;=0,"Expired")</f>
        <v>Active</v>
      </c>
      <c r="K186" s="10">
        <f ca="1">IF(Table2[[#This Row],[End Date]]-Dashboard!$Z$4&lt;=0,"Expired",Table2[[#This Row],[End Date]]-Dashboard!$Z$4)</f>
        <v>79</v>
      </c>
      <c r="L186" s="13" t="s">
        <v>11</v>
      </c>
      <c r="M186" s="10">
        <v>6</v>
      </c>
      <c r="N186" s="9" t="str" cm="1">
        <f t="array" ref="N186">_xlfn.IFS(Table2[[#This Row],[Claims Count]]&gt;=3,"High",Table2[[#This Row],[Claims Count]]&gt;=1,"Medium",Table2[[#This Row],[Claims Count]]=0,"None")</f>
        <v>High</v>
      </c>
      <c r="O186" s="9" cm="1">
        <f t="array" ref="O186">(_xlfn.IFS(Table2[[#This Row],[Risk Level ]]="High",3,Table2[[#This Row],[Risk Level ]]="Medium",2,Table2[[#This Row],[Risk Level ]]="Low",1))+(_xlfn.IFS(Table2[[#This Row],[ Claims Frequency ]]="High",3,Table2[[#This Row],[ Claims Frequency ]]="Medium",1,Table2[[#This Row],[ Claims Frequency ]]="None",0))</f>
        <v>4</v>
      </c>
      <c r="P186" s="24" t="str" cm="1">
        <f t="array" ref="P186">_xlfn.IFS(Table2[[#This Row],[Final Risk Score ]]&gt;=5,"High",Table2[[#This Row],[Final Risk Score ]]&gt;=3,"Medium",Table2[[#This Row],[Final Risk Score ]]&lt;=2,"Low")</f>
        <v>Medium</v>
      </c>
      <c r="R186"/>
      <c r="S186"/>
      <c r="T186"/>
      <c r="U186"/>
    </row>
    <row r="187" spans="1:21" x14ac:dyDescent="0.25">
      <c r="A187" s="9" t="s">
        <v>233</v>
      </c>
      <c r="B187" s="13" t="s">
        <v>103</v>
      </c>
      <c r="C187" s="9" t="s">
        <v>21</v>
      </c>
      <c r="D187" s="9" t="s">
        <v>16</v>
      </c>
      <c r="E187" s="9" t="s">
        <v>39</v>
      </c>
      <c r="F187" s="30">
        <v>7479</v>
      </c>
      <c r="G187" s="31">
        <v>3906771</v>
      </c>
      <c r="H187" s="22">
        <v>45964</v>
      </c>
      <c r="I187" s="22">
        <v>46336</v>
      </c>
      <c r="J187" s="9" t="str" cm="1">
        <f t="array" aca="1" ref="J187" ca="1">_xlfn.IFS(Table2[[#This Row],[End Date]]-Dashboard!$Z$4&gt;30, "Active",Table2[[#This Row],[End Date]]-Dashboard!$Z$4&gt;0,"Expiring Soon",Table2[[#This Row],[End Date]]-Dashboard!$Z$4&lt;=0,"Expired")</f>
        <v>Active</v>
      </c>
      <c r="K187" s="10">
        <f ca="1">IF(Table2[[#This Row],[End Date]]-Dashboard!$Z$4&lt;=0,"Expired",Table2[[#This Row],[End Date]]-Dashboard!$Z$4)</f>
        <v>189</v>
      </c>
      <c r="L187" s="13" t="s">
        <v>46</v>
      </c>
      <c r="M187" s="10">
        <v>3</v>
      </c>
      <c r="N187" s="9" t="str" cm="1">
        <f t="array" ref="N187">_xlfn.IFS(Table2[[#This Row],[Claims Count]]&gt;=3,"High",Table2[[#This Row],[Claims Count]]&gt;=1,"Medium",Table2[[#This Row],[Claims Count]]=0,"None")</f>
        <v>High</v>
      </c>
      <c r="O187" s="9" cm="1">
        <f t="array" ref="O187">(_xlfn.IFS(Table2[[#This Row],[Risk Level ]]="High",3,Table2[[#This Row],[Risk Level ]]="Medium",2,Table2[[#This Row],[Risk Level ]]="Low",1))+(_xlfn.IFS(Table2[[#This Row],[ Claims Frequency ]]="High",3,Table2[[#This Row],[ Claims Frequency ]]="Medium",1,Table2[[#This Row],[ Claims Frequency ]]="None",0))</f>
        <v>5</v>
      </c>
      <c r="P187" s="24" t="str" cm="1">
        <f t="array" ref="P187">_xlfn.IFS(Table2[[#This Row],[Final Risk Score ]]&gt;=5,"High",Table2[[#This Row],[Final Risk Score ]]&gt;=3,"Medium",Table2[[#This Row],[Final Risk Score ]]&lt;=2,"Low")</f>
        <v>High</v>
      </c>
      <c r="R187"/>
      <c r="S187"/>
      <c r="T187"/>
      <c r="U187"/>
    </row>
    <row r="188" spans="1:21" x14ac:dyDescent="0.25">
      <c r="A188" s="9" t="s">
        <v>234</v>
      </c>
      <c r="B188" s="13" t="s">
        <v>145</v>
      </c>
      <c r="C188" s="9" t="s">
        <v>15</v>
      </c>
      <c r="D188" s="9" t="s">
        <v>41</v>
      </c>
      <c r="E188" s="9" t="s">
        <v>39</v>
      </c>
      <c r="F188" s="30">
        <v>19238</v>
      </c>
      <c r="G188" s="31">
        <v>1086409</v>
      </c>
      <c r="H188" s="22">
        <v>45910</v>
      </c>
      <c r="I188" s="22">
        <v>46280</v>
      </c>
      <c r="J188" s="9" t="str" cm="1">
        <f t="array" aca="1" ref="J188" ca="1">_xlfn.IFS(Table2[[#This Row],[End Date]]-Dashboard!$Z$4&gt;30, "Active",Table2[[#This Row],[End Date]]-Dashboard!$Z$4&gt;0,"Expiring Soon",Table2[[#This Row],[End Date]]-Dashboard!$Z$4&lt;=0,"Expired")</f>
        <v>Active</v>
      </c>
      <c r="K188" s="10">
        <f ca="1">IF(Table2[[#This Row],[End Date]]-Dashboard!$Z$4&lt;=0,"Expired",Table2[[#This Row],[End Date]]-Dashboard!$Z$4)</f>
        <v>133</v>
      </c>
      <c r="L188" s="13" t="s">
        <v>11</v>
      </c>
      <c r="M188" s="10">
        <v>5</v>
      </c>
      <c r="N188" s="9" t="str" cm="1">
        <f t="array" ref="N188">_xlfn.IFS(Table2[[#This Row],[Claims Count]]&gt;=3,"High",Table2[[#This Row],[Claims Count]]&gt;=1,"Medium",Table2[[#This Row],[Claims Count]]=0,"None")</f>
        <v>High</v>
      </c>
      <c r="O188" s="9" cm="1">
        <f t="array" ref="O188">(_xlfn.IFS(Table2[[#This Row],[Risk Level ]]="High",3,Table2[[#This Row],[Risk Level ]]="Medium",2,Table2[[#This Row],[Risk Level ]]="Low",1))+(_xlfn.IFS(Table2[[#This Row],[ Claims Frequency ]]="High",3,Table2[[#This Row],[ Claims Frequency ]]="Medium",1,Table2[[#This Row],[ Claims Frequency ]]="None",0))</f>
        <v>4</v>
      </c>
      <c r="P188" s="24" t="str" cm="1">
        <f t="array" ref="P188">_xlfn.IFS(Table2[[#This Row],[Final Risk Score ]]&gt;=5,"High",Table2[[#This Row],[Final Risk Score ]]&gt;=3,"Medium",Table2[[#This Row],[Final Risk Score ]]&lt;=2,"Low")</f>
        <v>Medium</v>
      </c>
      <c r="R188"/>
      <c r="S188"/>
      <c r="T188"/>
      <c r="U188"/>
    </row>
    <row r="189" spans="1:21" x14ac:dyDescent="0.25">
      <c r="A189" s="9" t="s">
        <v>235</v>
      </c>
      <c r="B189" s="13" t="s">
        <v>29</v>
      </c>
      <c r="C189" s="9" t="s">
        <v>30</v>
      </c>
      <c r="D189" s="9" t="s">
        <v>31</v>
      </c>
      <c r="E189" s="9" t="s">
        <v>39</v>
      </c>
      <c r="F189" s="30">
        <v>7853</v>
      </c>
      <c r="G189" s="31">
        <v>9416619</v>
      </c>
      <c r="H189" s="22">
        <v>45833</v>
      </c>
      <c r="I189" s="22">
        <v>46068</v>
      </c>
      <c r="J189" s="9" t="str" cm="1">
        <f t="array" aca="1" ref="J189" ca="1">_xlfn.IFS(Table2[[#This Row],[End Date]]-Dashboard!$Z$4&gt;30, "Active",Table2[[#This Row],[End Date]]-Dashboard!$Z$4&gt;0,"Expiring Soon",Table2[[#This Row],[End Date]]-Dashboard!$Z$4&lt;=0,"Expired")</f>
        <v>Expired</v>
      </c>
      <c r="K189" s="10" t="str">
        <f ca="1">IF(Table2[[#This Row],[End Date]]-Dashboard!$Z$4&lt;=0,"Expired",Table2[[#This Row],[End Date]]-Dashboard!$Z$4)</f>
        <v>Expired</v>
      </c>
      <c r="L189" s="13" t="s">
        <v>46</v>
      </c>
      <c r="M189" s="10">
        <v>1</v>
      </c>
      <c r="N189" s="9" t="str" cm="1">
        <f t="array" ref="N189">_xlfn.IFS(Table2[[#This Row],[Claims Count]]&gt;=3,"High",Table2[[#This Row],[Claims Count]]&gt;=1,"Medium",Table2[[#This Row],[Claims Count]]=0,"None")</f>
        <v>Medium</v>
      </c>
      <c r="O189" s="9" cm="1">
        <f t="array" ref="O189">(_xlfn.IFS(Table2[[#This Row],[Risk Level ]]="High",3,Table2[[#This Row],[Risk Level ]]="Medium",2,Table2[[#This Row],[Risk Level ]]="Low",1))+(_xlfn.IFS(Table2[[#This Row],[ Claims Frequency ]]="High",3,Table2[[#This Row],[ Claims Frequency ]]="Medium",1,Table2[[#This Row],[ Claims Frequency ]]="None",0))</f>
        <v>3</v>
      </c>
      <c r="P189" s="24" t="str" cm="1">
        <f t="array" ref="P189">_xlfn.IFS(Table2[[#This Row],[Final Risk Score ]]&gt;=5,"High",Table2[[#This Row],[Final Risk Score ]]&gt;=3,"Medium",Table2[[#This Row],[Final Risk Score ]]&lt;=2,"Low")</f>
        <v>Medium</v>
      </c>
      <c r="R189"/>
      <c r="S189"/>
      <c r="T189"/>
      <c r="U189"/>
    </row>
    <row r="190" spans="1:21" x14ac:dyDescent="0.25">
      <c r="A190" s="9" t="s">
        <v>236</v>
      </c>
      <c r="B190" s="13" t="s">
        <v>33</v>
      </c>
      <c r="C190" s="9" t="s">
        <v>21</v>
      </c>
      <c r="D190" s="9" t="s">
        <v>38</v>
      </c>
      <c r="E190" s="9" t="s">
        <v>27</v>
      </c>
      <c r="F190" s="30">
        <v>20802</v>
      </c>
      <c r="G190" s="31">
        <v>3255211</v>
      </c>
      <c r="H190" s="22">
        <v>46003</v>
      </c>
      <c r="I190" s="22">
        <v>46079</v>
      </c>
      <c r="J190" s="9" t="str" cm="1">
        <f t="array" aca="1" ref="J190" ca="1">_xlfn.IFS(Table2[[#This Row],[End Date]]-Dashboard!$Z$4&gt;30, "Active",Table2[[#This Row],[End Date]]-Dashboard!$Z$4&gt;0,"Expiring Soon",Table2[[#This Row],[End Date]]-Dashboard!$Z$4&lt;=0,"Expired")</f>
        <v>Expired</v>
      </c>
      <c r="K190" s="10" t="str">
        <f ca="1">IF(Table2[[#This Row],[End Date]]-Dashboard!$Z$4&lt;=0,"Expired",Table2[[#This Row],[End Date]]-Dashboard!$Z$4)</f>
        <v>Expired</v>
      </c>
      <c r="L190" s="13" t="s">
        <v>18</v>
      </c>
      <c r="M190" s="10">
        <v>5</v>
      </c>
      <c r="N190" s="9" t="str" cm="1">
        <f t="array" ref="N190">_xlfn.IFS(Table2[[#This Row],[Claims Count]]&gt;=3,"High",Table2[[#This Row],[Claims Count]]&gt;=1,"Medium",Table2[[#This Row],[Claims Count]]=0,"None")</f>
        <v>High</v>
      </c>
      <c r="O190" s="9" cm="1">
        <f t="array" ref="O190">(_xlfn.IFS(Table2[[#This Row],[Risk Level ]]="High",3,Table2[[#This Row],[Risk Level ]]="Medium",2,Table2[[#This Row],[Risk Level ]]="Low",1))+(_xlfn.IFS(Table2[[#This Row],[ Claims Frequency ]]="High",3,Table2[[#This Row],[ Claims Frequency ]]="Medium",1,Table2[[#This Row],[ Claims Frequency ]]="None",0))</f>
        <v>6</v>
      </c>
      <c r="P190" s="24" t="str" cm="1">
        <f t="array" ref="P190">_xlfn.IFS(Table2[[#This Row],[Final Risk Score ]]&gt;=5,"High",Table2[[#This Row],[Final Risk Score ]]&gt;=3,"Medium",Table2[[#This Row],[Final Risk Score ]]&lt;=2,"Low")</f>
        <v>High</v>
      </c>
      <c r="R190"/>
      <c r="S190"/>
      <c r="T190"/>
      <c r="U190"/>
    </row>
    <row r="191" spans="1:21" x14ac:dyDescent="0.25">
      <c r="A191" s="9" t="s">
        <v>237</v>
      </c>
      <c r="B191" s="13" t="s">
        <v>53</v>
      </c>
      <c r="C191" s="9" t="s">
        <v>37</v>
      </c>
      <c r="D191" s="9" t="s">
        <v>16</v>
      </c>
      <c r="E191" s="9" t="s">
        <v>49</v>
      </c>
      <c r="F191" s="30">
        <v>9782</v>
      </c>
      <c r="G191" s="31">
        <v>7001430</v>
      </c>
      <c r="H191" s="22">
        <v>45773</v>
      </c>
      <c r="I191" s="22">
        <v>46063</v>
      </c>
      <c r="J191" s="9" t="str" cm="1">
        <f t="array" aca="1" ref="J191" ca="1">_xlfn.IFS(Table2[[#This Row],[End Date]]-Dashboard!$Z$4&gt;30, "Active",Table2[[#This Row],[End Date]]-Dashboard!$Z$4&gt;0,"Expiring Soon",Table2[[#This Row],[End Date]]-Dashboard!$Z$4&lt;=0,"Expired")</f>
        <v>Expired</v>
      </c>
      <c r="K191" s="10" t="str">
        <f ca="1">IF(Table2[[#This Row],[End Date]]-Dashboard!$Z$4&lt;=0,"Expired",Table2[[#This Row],[End Date]]-Dashboard!$Z$4)</f>
        <v>Expired</v>
      </c>
      <c r="L191" s="13" t="s">
        <v>18</v>
      </c>
      <c r="M191" s="10">
        <v>6</v>
      </c>
      <c r="N191" s="9" t="str" cm="1">
        <f t="array" ref="N191">_xlfn.IFS(Table2[[#This Row],[Claims Count]]&gt;=3,"High",Table2[[#This Row],[Claims Count]]&gt;=1,"Medium",Table2[[#This Row],[Claims Count]]=0,"None")</f>
        <v>High</v>
      </c>
      <c r="O191" s="9" cm="1">
        <f t="array" ref="O191">(_xlfn.IFS(Table2[[#This Row],[Risk Level ]]="High",3,Table2[[#This Row],[Risk Level ]]="Medium",2,Table2[[#This Row],[Risk Level ]]="Low",1))+(_xlfn.IFS(Table2[[#This Row],[ Claims Frequency ]]="High",3,Table2[[#This Row],[ Claims Frequency ]]="Medium",1,Table2[[#This Row],[ Claims Frequency ]]="None",0))</f>
        <v>6</v>
      </c>
      <c r="P191" s="24" t="str" cm="1">
        <f t="array" ref="P191">_xlfn.IFS(Table2[[#This Row],[Final Risk Score ]]&gt;=5,"High",Table2[[#This Row],[Final Risk Score ]]&gt;=3,"Medium",Table2[[#This Row],[Final Risk Score ]]&lt;=2,"Low")</f>
        <v>High</v>
      </c>
      <c r="R191"/>
      <c r="S191"/>
      <c r="T191"/>
      <c r="U191"/>
    </row>
    <row r="192" spans="1:21" x14ac:dyDescent="0.25">
      <c r="A192" s="9" t="s">
        <v>238</v>
      </c>
      <c r="B192" s="13" t="s">
        <v>20</v>
      </c>
      <c r="C192" s="9" t="s">
        <v>15</v>
      </c>
      <c r="D192" s="9" t="s">
        <v>38</v>
      </c>
      <c r="E192" s="9" t="s">
        <v>39</v>
      </c>
      <c r="F192" s="30">
        <v>7860</v>
      </c>
      <c r="G192" s="31">
        <v>9946434</v>
      </c>
      <c r="H192" s="22">
        <v>45749</v>
      </c>
      <c r="I192" s="22">
        <v>46032</v>
      </c>
      <c r="J192" s="9" t="str" cm="1">
        <f t="array" aca="1" ref="J192" ca="1">_xlfn.IFS(Table2[[#This Row],[End Date]]-Dashboard!$Z$4&gt;30, "Active",Table2[[#This Row],[End Date]]-Dashboard!$Z$4&gt;0,"Expiring Soon",Table2[[#This Row],[End Date]]-Dashboard!$Z$4&lt;=0,"Expired")</f>
        <v>Expired</v>
      </c>
      <c r="K192" s="10" t="str">
        <f ca="1">IF(Table2[[#This Row],[End Date]]-Dashboard!$Z$4&lt;=0,"Expired",Table2[[#This Row],[End Date]]-Dashboard!$Z$4)</f>
        <v>Expired</v>
      </c>
      <c r="L192" s="13" t="s">
        <v>11</v>
      </c>
      <c r="M192" s="10">
        <v>0</v>
      </c>
      <c r="N192" s="9" t="str" cm="1">
        <f t="array" ref="N192">_xlfn.IFS(Table2[[#This Row],[Claims Count]]&gt;=3,"High",Table2[[#This Row],[Claims Count]]&gt;=1,"Medium",Table2[[#This Row],[Claims Count]]=0,"None")</f>
        <v>None</v>
      </c>
      <c r="O192" s="9" cm="1">
        <f t="array" ref="O192">(_xlfn.IFS(Table2[[#This Row],[Risk Level ]]="High",3,Table2[[#This Row],[Risk Level ]]="Medium",2,Table2[[#This Row],[Risk Level ]]="Low",1))+(_xlfn.IFS(Table2[[#This Row],[ Claims Frequency ]]="High",3,Table2[[#This Row],[ Claims Frequency ]]="Medium",1,Table2[[#This Row],[ Claims Frequency ]]="None",0))</f>
        <v>1</v>
      </c>
      <c r="P192" s="24" t="str" cm="1">
        <f t="array" ref="P192">_xlfn.IFS(Table2[[#This Row],[Final Risk Score ]]&gt;=5,"High",Table2[[#This Row],[Final Risk Score ]]&gt;=3,"Medium",Table2[[#This Row],[Final Risk Score ]]&lt;=2,"Low")</f>
        <v>Low</v>
      </c>
      <c r="R192"/>
      <c r="S192"/>
      <c r="T192"/>
      <c r="U192"/>
    </row>
    <row r="193" spans="1:21" x14ac:dyDescent="0.25">
      <c r="A193" s="9" t="s">
        <v>239</v>
      </c>
      <c r="B193" s="13" t="s">
        <v>75</v>
      </c>
      <c r="C193" s="9" t="s">
        <v>15</v>
      </c>
      <c r="D193" s="9" t="s">
        <v>38</v>
      </c>
      <c r="E193" s="9" t="s">
        <v>17</v>
      </c>
      <c r="F193" s="30">
        <v>31612</v>
      </c>
      <c r="G193" s="31">
        <v>7136944</v>
      </c>
      <c r="H193" s="22">
        <v>45693</v>
      </c>
      <c r="I193" s="22">
        <v>46163</v>
      </c>
      <c r="J193" s="9" t="str" cm="1">
        <f t="array" aca="1" ref="J193" ca="1">_xlfn.IFS(Table2[[#This Row],[End Date]]-Dashboard!$Z$4&gt;30, "Active",Table2[[#This Row],[End Date]]-Dashboard!$Z$4&gt;0,"Expiring Soon",Table2[[#This Row],[End Date]]-Dashboard!$Z$4&lt;=0,"Expired")</f>
        <v>Expiring Soon</v>
      </c>
      <c r="K193" s="10">
        <f ca="1">IF(Table2[[#This Row],[End Date]]-Dashboard!$Z$4&lt;=0,"Expired",Table2[[#This Row],[End Date]]-Dashboard!$Z$4)</f>
        <v>16</v>
      </c>
      <c r="L193" s="13" t="s">
        <v>11</v>
      </c>
      <c r="M193" s="10">
        <v>3</v>
      </c>
      <c r="N193" s="9" t="str" cm="1">
        <f t="array" ref="N193">_xlfn.IFS(Table2[[#This Row],[Claims Count]]&gt;=3,"High",Table2[[#This Row],[Claims Count]]&gt;=1,"Medium",Table2[[#This Row],[Claims Count]]=0,"None")</f>
        <v>High</v>
      </c>
      <c r="O193" s="9" cm="1">
        <f t="array" ref="O193">(_xlfn.IFS(Table2[[#This Row],[Risk Level ]]="High",3,Table2[[#This Row],[Risk Level ]]="Medium",2,Table2[[#This Row],[Risk Level ]]="Low",1))+(_xlfn.IFS(Table2[[#This Row],[ Claims Frequency ]]="High",3,Table2[[#This Row],[ Claims Frequency ]]="Medium",1,Table2[[#This Row],[ Claims Frequency ]]="None",0))</f>
        <v>4</v>
      </c>
      <c r="P193" s="24" t="str" cm="1">
        <f t="array" ref="P193">_xlfn.IFS(Table2[[#This Row],[Final Risk Score ]]&gt;=5,"High",Table2[[#This Row],[Final Risk Score ]]&gt;=3,"Medium",Table2[[#This Row],[Final Risk Score ]]&lt;=2,"Low")</f>
        <v>Medium</v>
      </c>
      <c r="R193"/>
      <c r="S193"/>
      <c r="T193"/>
      <c r="U193"/>
    </row>
    <row r="194" spans="1:21" x14ac:dyDescent="0.25">
      <c r="A194" s="9" t="s">
        <v>240</v>
      </c>
      <c r="B194" s="13" t="s">
        <v>59</v>
      </c>
      <c r="C194" s="9" t="s">
        <v>30</v>
      </c>
      <c r="D194" s="9" t="s">
        <v>22</v>
      </c>
      <c r="E194" s="9" t="s">
        <v>23</v>
      </c>
      <c r="F194" s="30">
        <v>20788</v>
      </c>
      <c r="G194" s="31">
        <v>9912365</v>
      </c>
      <c r="H194" s="22">
        <v>45886</v>
      </c>
      <c r="I194" s="22">
        <v>46268</v>
      </c>
      <c r="J194" s="9" t="str" cm="1">
        <f t="array" aca="1" ref="J194" ca="1">_xlfn.IFS(Table2[[#This Row],[End Date]]-Dashboard!$Z$4&gt;30, "Active",Table2[[#This Row],[End Date]]-Dashboard!$Z$4&gt;0,"Expiring Soon",Table2[[#This Row],[End Date]]-Dashboard!$Z$4&lt;=0,"Expired")</f>
        <v>Active</v>
      </c>
      <c r="K194" s="10">
        <f ca="1">IF(Table2[[#This Row],[End Date]]-Dashboard!$Z$4&lt;=0,"Expired",Table2[[#This Row],[End Date]]-Dashboard!$Z$4)</f>
        <v>121</v>
      </c>
      <c r="L194" s="13" t="s">
        <v>11</v>
      </c>
      <c r="M194" s="10">
        <v>2</v>
      </c>
      <c r="N194" s="9" t="str" cm="1">
        <f t="array" ref="N194">_xlfn.IFS(Table2[[#This Row],[Claims Count]]&gt;=3,"High",Table2[[#This Row],[Claims Count]]&gt;=1,"Medium",Table2[[#This Row],[Claims Count]]=0,"None")</f>
        <v>Medium</v>
      </c>
      <c r="O194" s="9" cm="1">
        <f t="array" ref="O194">(_xlfn.IFS(Table2[[#This Row],[Risk Level ]]="High",3,Table2[[#This Row],[Risk Level ]]="Medium",2,Table2[[#This Row],[Risk Level ]]="Low",1))+(_xlfn.IFS(Table2[[#This Row],[ Claims Frequency ]]="High",3,Table2[[#This Row],[ Claims Frequency ]]="Medium",1,Table2[[#This Row],[ Claims Frequency ]]="None",0))</f>
        <v>2</v>
      </c>
      <c r="P194" s="24" t="str" cm="1">
        <f t="array" ref="P194">_xlfn.IFS(Table2[[#This Row],[Final Risk Score ]]&gt;=5,"High",Table2[[#This Row],[Final Risk Score ]]&gt;=3,"Medium",Table2[[#This Row],[Final Risk Score ]]&lt;=2,"Low")</f>
        <v>Low</v>
      </c>
      <c r="R194"/>
      <c r="S194"/>
      <c r="T194"/>
      <c r="U194"/>
    </row>
    <row r="195" spans="1:21" x14ac:dyDescent="0.25">
      <c r="A195" s="9" t="s">
        <v>241</v>
      </c>
      <c r="B195" s="13" t="s">
        <v>59</v>
      </c>
      <c r="C195" s="9" t="s">
        <v>37</v>
      </c>
      <c r="D195" s="9" t="s">
        <v>38</v>
      </c>
      <c r="E195" s="9" t="s">
        <v>23</v>
      </c>
      <c r="F195" s="30">
        <v>23585</v>
      </c>
      <c r="G195" s="31">
        <v>865524</v>
      </c>
      <c r="H195" s="22">
        <v>45985</v>
      </c>
      <c r="I195" s="22">
        <v>46039</v>
      </c>
      <c r="J195" s="9" t="str" cm="1">
        <f t="array" aca="1" ref="J195" ca="1">_xlfn.IFS(Table2[[#This Row],[End Date]]-Dashboard!$Z$4&gt;30, "Active",Table2[[#This Row],[End Date]]-Dashboard!$Z$4&gt;0,"Expiring Soon",Table2[[#This Row],[End Date]]-Dashboard!$Z$4&lt;=0,"Expired")</f>
        <v>Expired</v>
      </c>
      <c r="K195" s="10" t="str">
        <f ca="1">IF(Table2[[#This Row],[End Date]]-Dashboard!$Z$4&lt;=0,"Expired",Table2[[#This Row],[End Date]]-Dashboard!$Z$4)</f>
        <v>Expired</v>
      </c>
      <c r="L195" s="13" t="s">
        <v>46</v>
      </c>
      <c r="M195" s="10">
        <v>5</v>
      </c>
      <c r="N195" s="9" t="str" cm="1">
        <f t="array" ref="N195">_xlfn.IFS(Table2[[#This Row],[Claims Count]]&gt;=3,"High",Table2[[#This Row],[Claims Count]]&gt;=1,"Medium",Table2[[#This Row],[Claims Count]]=0,"None")</f>
        <v>High</v>
      </c>
      <c r="O195" s="9" cm="1">
        <f t="array" ref="O195">(_xlfn.IFS(Table2[[#This Row],[Risk Level ]]="High",3,Table2[[#This Row],[Risk Level ]]="Medium",2,Table2[[#This Row],[Risk Level ]]="Low",1))+(_xlfn.IFS(Table2[[#This Row],[ Claims Frequency ]]="High",3,Table2[[#This Row],[ Claims Frequency ]]="Medium",1,Table2[[#This Row],[ Claims Frequency ]]="None",0))</f>
        <v>5</v>
      </c>
      <c r="P195" s="24" t="str" cm="1">
        <f t="array" ref="P195">_xlfn.IFS(Table2[[#This Row],[Final Risk Score ]]&gt;=5,"High",Table2[[#This Row],[Final Risk Score ]]&gt;=3,"Medium",Table2[[#This Row],[Final Risk Score ]]&lt;=2,"Low")</f>
        <v>High</v>
      </c>
      <c r="R195"/>
      <c r="S195"/>
      <c r="T195"/>
      <c r="U195"/>
    </row>
    <row r="196" spans="1:21" x14ac:dyDescent="0.25">
      <c r="A196" s="9" t="s">
        <v>242</v>
      </c>
      <c r="B196" s="13" t="s">
        <v>36</v>
      </c>
      <c r="C196" s="9" t="s">
        <v>37</v>
      </c>
      <c r="D196" s="9" t="s">
        <v>22</v>
      </c>
      <c r="E196" s="9" t="s">
        <v>17</v>
      </c>
      <c r="F196" s="30">
        <v>8982</v>
      </c>
      <c r="G196" s="31">
        <v>9740245</v>
      </c>
      <c r="H196" s="22">
        <v>45660</v>
      </c>
      <c r="I196" s="22">
        <v>46028</v>
      </c>
      <c r="J196" s="9" t="str" cm="1">
        <f t="array" aca="1" ref="J196" ca="1">_xlfn.IFS(Table2[[#This Row],[End Date]]-Dashboard!$Z$4&gt;30, "Active",Table2[[#This Row],[End Date]]-Dashboard!$Z$4&gt;0,"Expiring Soon",Table2[[#This Row],[End Date]]-Dashboard!$Z$4&lt;=0,"Expired")</f>
        <v>Expired</v>
      </c>
      <c r="K196" s="10" t="str">
        <f ca="1">IF(Table2[[#This Row],[End Date]]-Dashboard!$Z$4&lt;=0,"Expired",Table2[[#This Row],[End Date]]-Dashboard!$Z$4)</f>
        <v>Expired</v>
      </c>
      <c r="L196" s="13" t="s">
        <v>46</v>
      </c>
      <c r="M196" s="10">
        <v>6</v>
      </c>
      <c r="N196" s="9" t="str" cm="1">
        <f t="array" ref="N196">_xlfn.IFS(Table2[[#This Row],[Claims Count]]&gt;=3,"High",Table2[[#This Row],[Claims Count]]&gt;=1,"Medium",Table2[[#This Row],[Claims Count]]=0,"None")</f>
        <v>High</v>
      </c>
      <c r="O196" s="9" cm="1">
        <f t="array" ref="O196">(_xlfn.IFS(Table2[[#This Row],[Risk Level ]]="High",3,Table2[[#This Row],[Risk Level ]]="Medium",2,Table2[[#This Row],[Risk Level ]]="Low",1))+(_xlfn.IFS(Table2[[#This Row],[ Claims Frequency ]]="High",3,Table2[[#This Row],[ Claims Frequency ]]="Medium",1,Table2[[#This Row],[ Claims Frequency ]]="None",0))</f>
        <v>5</v>
      </c>
      <c r="P196" s="24" t="str" cm="1">
        <f t="array" ref="P196">_xlfn.IFS(Table2[[#This Row],[Final Risk Score ]]&gt;=5,"High",Table2[[#This Row],[Final Risk Score ]]&gt;=3,"Medium",Table2[[#This Row],[Final Risk Score ]]&lt;=2,"Low")</f>
        <v>High</v>
      </c>
      <c r="R196"/>
      <c r="S196"/>
      <c r="T196"/>
      <c r="U196"/>
    </row>
    <row r="197" spans="1:21" x14ac:dyDescent="0.25">
      <c r="A197" s="9" t="s">
        <v>243</v>
      </c>
      <c r="B197" s="13" t="s">
        <v>103</v>
      </c>
      <c r="C197" s="9" t="s">
        <v>15</v>
      </c>
      <c r="D197" s="9" t="s">
        <v>16</v>
      </c>
      <c r="E197" s="9" t="s">
        <v>17</v>
      </c>
      <c r="F197" s="30">
        <v>23326</v>
      </c>
      <c r="G197" s="31">
        <v>4317554</v>
      </c>
      <c r="H197" s="22">
        <v>45710</v>
      </c>
      <c r="I197" s="22">
        <v>46229</v>
      </c>
      <c r="J197" s="9" t="str" cm="1">
        <f t="array" aca="1" ref="J197" ca="1">_xlfn.IFS(Table2[[#This Row],[End Date]]-Dashboard!$Z$4&gt;30, "Active",Table2[[#This Row],[End Date]]-Dashboard!$Z$4&gt;0,"Expiring Soon",Table2[[#This Row],[End Date]]-Dashboard!$Z$4&lt;=0,"Expired")</f>
        <v>Active</v>
      </c>
      <c r="K197" s="10">
        <f ca="1">IF(Table2[[#This Row],[End Date]]-Dashboard!$Z$4&lt;=0,"Expired",Table2[[#This Row],[End Date]]-Dashboard!$Z$4)</f>
        <v>82</v>
      </c>
      <c r="L197" s="13" t="s">
        <v>46</v>
      </c>
      <c r="M197" s="10">
        <v>4</v>
      </c>
      <c r="N197" s="9" t="str" cm="1">
        <f t="array" ref="N197">_xlfn.IFS(Table2[[#This Row],[Claims Count]]&gt;=3,"High",Table2[[#This Row],[Claims Count]]&gt;=1,"Medium",Table2[[#This Row],[Claims Count]]=0,"None")</f>
        <v>High</v>
      </c>
      <c r="O197" s="9" cm="1">
        <f t="array" ref="O197">(_xlfn.IFS(Table2[[#This Row],[Risk Level ]]="High",3,Table2[[#This Row],[Risk Level ]]="Medium",2,Table2[[#This Row],[Risk Level ]]="Low",1))+(_xlfn.IFS(Table2[[#This Row],[ Claims Frequency ]]="High",3,Table2[[#This Row],[ Claims Frequency ]]="Medium",1,Table2[[#This Row],[ Claims Frequency ]]="None",0))</f>
        <v>5</v>
      </c>
      <c r="P197" s="24" t="str" cm="1">
        <f t="array" ref="P197">_xlfn.IFS(Table2[[#This Row],[Final Risk Score ]]&gt;=5,"High",Table2[[#This Row],[Final Risk Score ]]&gt;=3,"Medium",Table2[[#This Row],[Final Risk Score ]]&lt;=2,"Low")</f>
        <v>High</v>
      </c>
      <c r="R197"/>
      <c r="S197"/>
      <c r="T197"/>
      <c r="U197"/>
    </row>
    <row r="198" spans="1:21" x14ac:dyDescent="0.25">
      <c r="A198" s="9" t="s">
        <v>244</v>
      </c>
      <c r="B198" s="13" t="s">
        <v>145</v>
      </c>
      <c r="C198" s="9" t="s">
        <v>37</v>
      </c>
      <c r="D198" s="9" t="s">
        <v>57</v>
      </c>
      <c r="E198" s="9" t="s">
        <v>49</v>
      </c>
      <c r="F198" s="30">
        <v>11821</v>
      </c>
      <c r="G198" s="31">
        <v>3451402</v>
      </c>
      <c r="H198" s="22">
        <v>45846</v>
      </c>
      <c r="I198" s="22">
        <v>46116</v>
      </c>
      <c r="J198" s="9" t="str" cm="1">
        <f t="array" aca="1" ref="J198" ca="1">_xlfn.IFS(Table2[[#This Row],[End Date]]-Dashboard!$Z$4&gt;30, "Active",Table2[[#This Row],[End Date]]-Dashboard!$Z$4&gt;0,"Expiring Soon",Table2[[#This Row],[End Date]]-Dashboard!$Z$4&lt;=0,"Expired")</f>
        <v>Expired</v>
      </c>
      <c r="K198" s="10" t="str">
        <f ca="1">IF(Table2[[#This Row],[End Date]]-Dashboard!$Z$4&lt;=0,"Expired",Table2[[#This Row],[End Date]]-Dashboard!$Z$4)</f>
        <v>Expired</v>
      </c>
      <c r="L198" s="13" t="s">
        <v>11</v>
      </c>
      <c r="M198" s="10">
        <v>1</v>
      </c>
      <c r="N198" s="9" t="str" cm="1">
        <f t="array" ref="N198">_xlfn.IFS(Table2[[#This Row],[Claims Count]]&gt;=3,"High",Table2[[#This Row],[Claims Count]]&gt;=1,"Medium",Table2[[#This Row],[Claims Count]]=0,"None")</f>
        <v>Medium</v>
      </c>
      <c r="O198" s="9" cm="1">
        <f t="array" ref="O198">(_xlfn.IFS(Table2[[#This Row],[Risk Level ]]="High",3,Table2[[#This Row],[Risk Level ]]="Medium",2,Table2[[#This Row],[Risk Level ]]="Low",1))+(_xlfn.IFS(Table2[[#This Row],[ Claims Frequency ]]="High",3,Table2[[#This Row],[ Claims Frequency ]]="Medium",1,Table2[[#This Row],[ Claims Frequency ]]="None",0))</f>
        <v>2</v>
      </c>
      <c r="P198" s="24" t="str" cm="1">
        <f t="array" ref="P198">_xlfn.IFS(Table2[[#This Row],[Final Risk Score ]]&gt;=5,"High",Table2[[#This Row],[Final Risk Score ]]&gt;=3,"Medium",Table2[[#This Row],[Final Risk Score ]]&lt;=2,"Low")</f>
        <v>Low</v>
      </c>
      <c r="R198"/>
      <c r="S198"/>
      <c r="T198"/>
      <c r="U198"/>
    </row>
    <row r="199" spans="1:21" x14ac:dyDescent="0.25">
      <c r="A199" s="9" t="s">
        <v>245</v>
      </c>
      <c r="B199" s="13" t="s">
        <v>56</v>
      </c>
      <c r="C199" s="9" t="s">
        <v>21</v>
      </c>
      <c r="D199" s="9" t="s">
        <v>16</v>
      </c>
      <c r="E199" s="9" t="s">
        <v>27</v>
      </c>
      <c r="F199" s="30">
        <v>34554</v>
      </c>
      <c r="G199" s="31">
        <v>6082398</v>
      </c>
      <c r="H199" s="22">
        <v>45923</v>
      </c>
      <c r="I199" s="22">
        <v>46331</v>
      </c>
      <c r="J199" s="9" t="str" cm="1">
        <f t="array" aca="1" ref="J199" ca="1">_xlfn.IFS(Table2[[#This Row],[End Date]]-Dashboard!$Z$4&gt;30, "Active",Table2[[#This Row],[End Date]]-Dashboard!$Z$4&gt;0,"Expiring Soon",Table2[[#This Row],[End Date]]-Dashboard!$Z$4&lt;=0,"Expired")</f>
        <v>Active</v>
      </c>
      <c r="K199" s="10">
        <f ca="1">IF(Table2[[#This Row],[End Date]]-Dashboard!$Z$4&lt;=0,"Expired",Table2[[#This Row],[End Date]]-Dashboard!$Z$4)</f>
        <v>184</v>
      </c>
      <c r="L199" s="13" t="s">
        <v>46</v>
      </c>
      <c r="M199" s="10">
        <v>0</v>
      </c>
      <c r="N199" s="9" t="str" cm="1">
        <f t="array" ref="N199">_xlfn.IFS(Table2[[#This Row],[Claims Count]]&gt;=3,"High",Table2[[#This Row],[Claims Count]]&gt;=1,"Medium",Table2[[#This Row],[Claims Count]]=0,"None")</f>
        <v>None</v>
      </c>
      <c r="O199" s="9" cm="1">
        <f t="array" ref="O199">(_xlfn.IFS(Table2[[#This Row],[Risk Level ]]="High",3,Table2[[#This Row],[Risk Level ]]="Medium",2,Table2[[#This Row],[Risk Level ]]="Low",1))+(_xlfn.IFS(Table2[[#This Row],[ Claims Frequency ]]="High",3,Table2[[#This Row],[ Claims Frequency ]]="Medium",1,Table2[[#This Row],[ Claims Frequency ]]="None",0))</f>
        <v>2</v>
      </c>
      <c r="P199" s="24" t="str" cm="1">
        <f t="array" ref="P199">_xlfn.IFS(Table2[[#This Row],[Final Risk Score ]]&gt;=5,"High",Table2[[#This Row],[Final Risk Score ]]&gt;=3,"Medium",Table2[[#This Row],[Final Risk Score ]]&lt;=2,"Low")</f>
        <v>Low</v>
      </c>
      <c r="R199"/>
      <c r="S199"/>
      <c r="T199"/>
      <c r="U199"/>
    </row>
    <row r="200" spans="1:21" x14ac:dyDescent="0.25">
      <c r="A200" s="9" t="s">
        <v>246</v>
      </c>
      <c r="B200" s="13" t="s">
        <v>43</v>
      </c>
      <c r="C200" s="9" t="s">
        <v>21</v>
      </c>
      <c r="D200" s="9" t="s">
        <v>31</v>
      </c>
      <c r="E200" s="9" t="s">
        <v>39</v>
      </c>
      <c r="F200" s="30">
        <v>7462</v>
      </c>
      <c r="G200" s="31">
        <v>9844481</v>
      </c>
      <c r="H200" s="22">
        <v>45902</v>
      </c>
      <c r="I200" s="22">
        <v>46132</v>
      </c>
      <c r="J200" s="9" t="str" cm="1">
        <f t="array" aca="1" ref="J200" ca="1">_xlfn.IFS(Table2[[#This Row],[End Date]]-Dashboard!$Z$4&gt;30, "Active",Table2[[#This Row],[End Date]]-Dashboard!$Z$4&gt;0,"Expiring Soon",Table2[[#This Row],[End Date]]-Dashboard!$Z$4&lt;=0,"Expired")</f>
        <v>Expired</v>
      </c>
      <c r="K200" s="10" t="str">
        <f ca="1">IF(Table2[[#This Row],[End Date]]-Dashboard!$Z$4&lt;=0,"Expired",Table2[[#This Row],[End Date]]-Dashboard!$Z$4)</f>
        <v>Expired</v>
      </c>
      <c r="L200" s="13" t="s">
        <v>18</v>
      </c>
      <c r="M200" s="10">
        <v>4</v>
      </c>
      <c r="N200" s="9" t="str" cm="1">
        <f t="array" ref="N200">_xlfn.IFS(Table2[[#This Row],[Claims Count]]&gt;=3,"High",Table2[[#This Row],[Claims Count]]&gt;=1,"Medium",Table2[[#This Row],[Claims Count]]=0,"None")</f>
        <v>High</v>
      </c>
      <c r="O200" s="9" cm="1">
        <f t="array" ref="O200">(_xlfn.IFS(Table2[[#This Row],[Risk Level ]]="High",3,Table2[[#This Row],[Risk Level ]]="Medium",2,Table2[[#This Row],[Risk Level ]]="Low",1))+(_xlfn.IFS(Table2[[#This Row],[ Claims Frequency ]]="High",3,Table2[[#This Row],[ Claims Frequency ]]="Medium",1,Table2[[#This Row],[ Claims Frequency ]]="None",0))</f>
        <v>6</v>
      </c>
      <c r="P200" s="24" t="str" cm="1">
        <f t="array" ref="P200">_xlfn.IFS(Table2[[#This Row],[Final Risk Score ]]&gt;=5,"High",Table2[[#This Row],[Final Risk Score ]]&gt;=3,"Medium",Table2[[#This Row],[Final Risk Score ]]&lt;=2,"Low")</f>
        <v>High</v>
      </c>
      <c r="R200"/>
      <c r="S200"/>
      <c r="T200"/>
      <c r="U200"/>
    </row>
    <row r="201" spans="1:21" x14ac:dyDescent="0.25">
      <c r="A201" s="9" t="s">
        <v>247</v>
      </c>
      <c r="B201" s="13" t="s">
        <v>145</v>
      </c>
      <c r="C201" s="9" t="s">
        <v>37</v>
      </c>
      <c r="D201" s="9" t="s">
        <v>31</v>
      </c>
      <c r="E201" s="9" t="s">
        <v>23</v>
      </c>
      <c r="F201" s="30">
        <v>37116</v>
      </c>
      <c r="G201" s="31">
        <v>7416558</v>
      </c>
      <c r="H201" s="22">
        <v>45781</v>
      </c>
      <c r="I201" s="22">
        <v>46140</v>
      </c>
      <c r="J201" s="9" t="str" cm="1">
        <f t="array" aca="1" ref="J201" ca="1">_xlfn.IFS(Table2[[#This Row],[End Date]]-Dashboard!$Z$4&gt;30, "Active",Table2[[#This Row],[End Date]]-Dashboard!$Z$4&gt;0,"Expiring Soon",Table2[[#This Row],[End Date]]-Dashboard!$Z$4&lt;=0,"Expired")</f>
        <v>Expired</v>
      </c>
      <c r="K201" s="10" t="str">
        <f ca="1">IF(Table2[[#This Row],[End Date]]-Dashboard!$Z$4&lt;=0,"Expired",Table2[[#This Row],[End Date]]-Dashboard!$Z$4)</f>
        <v>Expired</v>
      </c>
      <c r="L201" s="13" t="s">
        <v>11</v>
      </c>
      <c r="M201" s="10">
        <v>4</v>
      </c>
      <c r="N201" s="9" t="str" cm="1">
        <f t="array" ref="N201">_xlfn.IFS(Table2[[#This Row],[Claims Count]]&gt;=3,"High",Table2[[#This Row],[Claims Count]]&gt;=1,"Medium",Table2[[#This Row],[Claims Count]]=0,"None")</f>
        <v>High</v>
      </c>
      <c r="O201" s="9" cm="1">
        <f t="array" ref="O201">(_xlfn.IFS(Table2[[#This Row],[Risk Level ]]="High",3,Table2[[#This Row],[Risk Level ]]="Medium",2,Table2[[#This Row],[Risk Level ]]="Low",1))+(_xlfn.IFS(Table2[[#This Row],[ Claims Frequency ]]="High",3,Table2[[#This Row],[ Claims Frequency ]]="Medium",1,Table2[[#This Row],[ Claims Frequency ]]="None",0))</f>
        <v>4</v>
      </c>
      <c r="P201" s="24" t="str" cm="1">
        <f t="array" ref="P201">_xlfn.IFS(Table2[[#This Row],[Final Risk Score ]]&gt;=5,"High",Table2[[#This Row],[Final Risk Score ]]&gt;=3,"Medium",Table2[[#This Row],[Final Risk Score ]]&lt;=2,"Low")</f>
        <v>Medium</v>
      </c>
      <c r="R201"/>
      <c r="S201"/>
      <c r="T201"/>
      <c r="U201"/>
    </row>
    <row r="202" spans="1:21" x14ac:dyDescent="0.25">
      <c r="A202" s="9" t="s">
        <v>248</v>
      </c>
      <c r="B202" s="13" t="s">
        <v>20</v>
      </c>
      <c r="C202" s="9" t="s">
        <v>21</v>
      </c>
      <c r="D202" s="9" t="s">
        <v>26</v>
      </c>
      <c r="E202" s="9" t="s">
        <v>17</v>
      </c>
      <c r="F202" s="30">
        <v>38693</v>
      </c>
      <c r="G202" s="31">
        <v>4466770</v>
      </c>
      <c r="H202" s="22">
        <v>45763</v>
      </c>
      <c r="I202" s="22">
        <v>46228</v>
      </c>
      <c r="J202" s="9" t="str" cm="1">
        <f t="array" aca="1" ref="J202" ca="1">_xlfn.IFS(Table2[[#This Row],[End Date]]-Dashboard!$Z$4&gt;30, "Active",Table2[[#This Row],[End Date]]-Dashboard!$Z$4&gt;0,"Expiring Soon",Table2[[#This Row],[End Date]]-Dashboard!$Z$4&lt;=0,"Expired")</f>
        <v>Active</v>
      </c>
      <c r="K202" s="10">
        <f ca="1">IF(Table2[[#This Row],[End Date]]-Dashboard!$Z$4&lt;=0,"Expired",Table2[[#This Row],[End Date]]-Dashboard!$Z$4)</f>
        <v>81</v>
      </c>
      <c r="L202" s="13" t="s">
        <v>11</v>
      </c>
      <c r="M202" s="10">
        <v>4</v>
      </c>
      <c r="N202" s="9" t="str" cm="1">
        <f t="array" ref="N202">_xlfn.IFS(Table2[[#This Row],[Claims Count]]&gt;=3,"High",Table2[[#This Row],[Claims Count]]&gt;=1,"Medium",Table2[[#This Row],[Claims Count]]=0,"None")</f>
        <v>High</v>
      </c>
      <c r="O202" s="9" cm="1">
        <f t="array" ref="O202">(_xlfn.IFS(Table2[[#This Row],[Risk Level ]]="High",3,Table2[[#This Row],[Risk Level ]]="Medium",2,Table2[[#This Row],[Risk Level ]]="Low",1))+(_xlfn.IFS(Table2[[#This Row],[ Claims Frequency ]]="High",3,Table2[[#This Row],[ Claims Frequency ]]="Medium",1,Table2[[#This Row],[ Claims Frequency ]]="None",0))</f>
        <v>4</v>
      </c>
      <c r="P202" s="24" t="str" cm="1">
        <f t="array" ref="P202">_xlfn.IFS(Table2[[#This Row],[Final Risk Score ]]&gt;=5,"High",Table2[[#This Row],[Final Risk Score ]]&gt;=3,"Medium",Table2[[#This Row],[Final Risk Score ]]&lt;=2,"Low")</f>
        <v>Medium</v>
      </c>
      <c r="R202"/>
      <c r="S202"/>
      <c r="T202"/>
      <c r="U202"/>
    </row>
    <row r="203" spans="1:21" x14ac:dyDescent="0.25">
      <c r="A203" s="9" t="s">
        <v>249</v>
      </c>
      <c r="B203" s="13" t="s">
        <v>85</v>
      </c>
      <c r="C203" s="9" t="s">
        <v>21</v>
      </c>
      <c r="D203" s="9" t="s">
        <v>34</v>
      </c>
      <c r="E203" s="9" t="s">
        <v>23</v>
      </c>
      <c r="F203" s="30">
        <v>32665</v>
      </c>
      <c r="G203" s="31">
        <v>7297148</v>
      </c>
      <c r="H203" s="22">
        <v>45855</v>
      </c>
      <c r="I203" s="22">
        <v>46174</v>
      </c>
      <c r="J203" s="9" t="str" cm="1">
        <f t="array" aca="1" ref="J203" ca="1">_xlfn.IFS(Table2[[#This Row],[End Date]]-Dashboard!$Z$4&gt;30, "Active",Table2[[#This Row],[End Date]]-Dashboard!$Z$4&gt;0,"Expiring Soon",Table2[[#This Row],[End Date]]-Dashboard!$Z$4&lt;=0,"Expired")</f>
        <v>Expiring Soon</v>
      </c>
      <c r="K203" s="10">
        <f ca="1">IF(Table2[[#This Row],[End Date]]-Dashboard!$Z$4&lt;=0,"Expired",Table2[[#This Row],[End Date]]-Dashboard!$Z$4)</f>
        <v>27</v>
      </c>
      <c r="L203" s="13" t="s">
        <v>46</v>
      </c>
      <c r="M203" s="10">
        <v>0</v>
      </c>
      <c r="N203" s="9" t="str" cm="1">
        <f t="array" ref="N203">_xlfn.IFS(Table2[[#This Row],[Claims Count]]&gt;=3,"High",Table2[[#This Row],[Claims Count]]&gt;=1,"Medium",Table2[[#This Row],[Claims Count]]=0,"None")</f>
        <v>None</v>
      </c>
      <c r="O203" s="9" cm="1">
        <f t="array" ref="O203">(_xlfn.IFS(Table2[[#This Row],[Risk Level ]]="High",3,Table2[[#This Row],[Risk Level ]]="Medium",2,Table2[[#This Row],[Risk Level ]]="Low",1))+(_xlfn.IFS(Table2[[#This Row],[ Claims Frequency ]]="High",3,Table2[[#This Row],[ Claims Frequency ]]="Medium",1,Table2[[#This Row],[ Claims Frequency ]]="None",0))</f>
        <v>2</v>
      </c>
      <c r="P203" s="24" t="str" cm="1">
        <f t="array" ref="P203">_xlfn.IFS(Table2[[#This Row],[Final Risk Score ]]&gt;=5,"High",Table2[[#This Row],[Final Risk Score ]]&gt;=3,"Medium",Table2[[#This Row],[Final Risk Score ]]&lt;=2,"Low")</f>
        <v>Low</v>
      </c>
      <c r="R203"/>
      <c r="S203"/>
      <c r="T203"/>
      <c r="U203"/>
    </row>
    <row r="204" spans="1:21" x14ac:dyDescent="0.25">
      <c r="A204" s="9" t="s">
        <v>250</v>
      </c>
      <c r="B204" s="13" t="s">
        <v>59</v>
      </c>
      <c r="C204" s="9" t="s">
        <v>15</v>
      </c>
      <c r="D204" s="9" t="s">
        <v>31</v>
      </c>
      <c r="E204" s="9" t="s">
        <v>39</v>
      </c>
      <c r="F204" s="30">
        <v>12512</v>
      </c>
      <c r="G204" s="31">
        <v>1583449</v>
      </c>
      <c r="H204" s="22">
        <v>45980</v>
      </c>
      <c r="I204" s="22">
        <v>46218</v>
      </c>
      <c r="J204" s="9" t="str" cm="1">
        <f t="array" aca="1" ref="J204" ca="1">_xlfn.IFS(Table2[[#This Row],[End Date]]-Dashboard!$Z$4&gt;30, "Active",Table2[[#This Row],[End Date]]-Dashboard!$Z$4&gt;0,"Expiring Soon",Table2[[#This Row],[End Date]]-Dashboard!$Z$4&lt;=0,"Expired")</f>
        <v>Active</v>
      </c>
      <c r="K204" s="10">
        <f ca="1">IF(Table2[[#This Row],[End Date]]-Dashboard!$Z$4&lt;=0,"Expired",Table2[[#This Row],[End Date]]-Dashboard!$Z$4)</f>
        <v>71</v>
      </c>
      <c r="L204" s="13" t="s">
        <v>11</v>
      </c>
      <c r="M204" s="10">
        <v>4</v>
      </c>
      <c r="N204" s="9" t="str" cm="1">
        <f t="array" ref="N204">_xlfn.IFS(Table2[[#This Row],[Claims Count]]&gt;=3,"High",Table2[[#This Row],[Claims Count]]&gt;=1,"Medium",Table2[[#This Row],[Claims Count]]=0,"None")</f>
        <v>High</v>
      </c>
      <c r="O204" s="9" cm="1">
        <f t="array" ref="O204">(_xlfn.IFS(Table2[[#This Row],[Risk Level ]]="High",3,Table2[[#This Row],[Risk Level ]]="Medium",2,Table2[[#This Row],[Risk Level ]]="Low",1))+(_xlfn.IFS(Table2[[#This Row],[ Claims Frequency ]]="High",3,Table2[[#This Row],[ Claims Frequency ]]="Medium",1,Table2[[#This Row],[ Claims Frequency ]]="None",0))</f>
        <v>4</v>
      </c>
      <c r="P204" s="24" t="str" cm="1">
        <f t="array" ref="P204">_xlfn.IFS(Table2[[#This Row],[Final Risk Score ]]&gt;=5,"High",Table2[[#This Row],[Final Risk Score ]]&gt;=3,"Medium",Table2[[#This Row],[Final Risk Score ]]&lt;=2,"Low")</f>
        <v>Medium</v>
      </c>
      <c r="R204"/>
      <c r="S204"/>
      <c r="T204"/>
      <c r="U204"/>
    </row>
    <row r="205" spans="1:21" x14ac:dyDescent="0.25">
      <c r="A205" s="9" t="s">
        <v>251</v>
      </c>
      <c r="B205" s="13" t="s">
        <v>75</v>
      </c>
      <c r="C205" s="9" t="s">
        <v>21</v>
      </c>
      <c r="D205" s="9" t="s">
        <v>41</v>
      </c>
      <c r="E205" s="9" t="s">
        <v>27</v>
      </c>
      <c r="F205" s="30">
        <v>12887</v>
      </c>
      <c r="G205" s="31">
        <v>3211497</v>
      </c>
      <c r="H205" s="22">
        <v>45844</v>
      </c>
      <c r="I205" s="22">
        <v>46089</v>
      </c>
      <c r="J205" s="9" t="str" cm="1">
        <f t="array" aca="1" ref="J205" ca="1">_xlfn.IFS(Table2[[#This Row],[End Date]]-Dashboard!$Z$4&gt;30, "Active",Table2[[#This Row],[End Date]]-Dashboard!$Z$4&gt;0,"Expiring Soon",Table2[[#This Row],[End Date]]-Dashboard!$Z$4&lt;=0,"Expired")</f>
        <v>Expired</v>
      </c>
      <c r="K205" s="10" t="str">
        <f ca="1">IF(Table2[[#This Row],[End Date]]-Dashboard!$Z$4&lt;=0,"Expired",Table2[[#This Row],[End Date]]-Dashboard!$Z$4)</f>
        <v>Expired</v>
      </c>
      <c r="L205" s="13" t="s">
        <v>18</v>
      </c>
      <c r="M205" s="10">
        <v>6</v>
      </c>
      <c r="N205" s="9" t="str" cm="1">
        <f t="array" ref="N205">_xlfn.IFS(Table2[[#This Row],[Claims Count]]&gt;=3,"High",Table2[[#This Row],[Claims Count]]&gt;=1,"Medium",Table2[[#This Row],[Claims Count]]=0,"None")</f>
        <v>High</v>
      </c>
      <c r="O205" s="9" cm="1">
        <f t="array" ref="O205">(_xlfn.IFS(Table2[[#This Row],[Risk Level ]]="High",3,Table2[[#This Row],[Risk Level ]]="Medium",2,Table2[[#This Row],[Risk Level ]]="Low",1))+(_xlfn.IFS(Table2[[#This Row],[ Claims Frequency ]]="High",3,Table2[[#This Row],[ Claims Frequency ]]="Medium",1,Table2[[#This Row],[ Claims Frequency ]]="None",0))</f>
        <v>6</v>
      </c>
      <c r="P205" s="24" t="str" cm="1">
        <f t="array" ref="P205">_xlfn.IFS(Table2[[#This Row],[Final Risk Score ]]&gt;=5,"High",Table2[[#This Row],[Final Risk Score ]]&gt;=3,"Medium",Table2[[#This Row],[Final Risk Score ]]&lt;=2,"Low")</f>
        <v>High</v>
      </c>
      <c r="R205"/>
      <c r="S205"/>
      <c r="T205"/>
      <c r="U205"/>
    </row>
    <row r="206" spans="1:21" x14ac:dyDescent="0.25">
      <c r="A206" s="9" t="s">
        <v>252</v>
      </c>
      <c r="B206" s="13" t="s">
        <v>33</v>
      </c>
      <c r="C206" s="9" t="s">
        <v>21</v>
      </c>
      <c r="D206" s="9" t="s">
        <v>57</v>
      </c>
      <c r="E206" s="9" t="s">
        <v>23</v>
      </c>
      <c r="F206" s="30">
        <v>11399</v>
      </c>
      <c r="G206" s="31">
        <v>9765707</v>
      </c>
      <c r="H206" s="22">
        <v>45831</v>
      </c>
      <c r="I206" s="22">
        <v>46343</v>
      </c>
      <c r="J206" s="9" t="str" cm="1">
        <f t="array" aca="1" ref="J206" ca="1">_xlfn.IFS(Table2[[#This Row],[End Date]]-Dashboard!$Z$4&gt;30, "Active",Table2[[#This Row],[End Date]]-Dashboard!$Z$4&gt;0,"Expiring Soon",Table2[[#This Row],[End Date]]-Dashboard!$Z$4&lt;=0,"Expired")</f>
        <v>Active</v>
      </c>
      <c r="K206" s="10">
        <f ca="1">IF(Table2[[#This Row],[End Date]]-Dashboard!$Z$4&lt;=0,"Expired",Table2[[#This Row],[End Date]]-Dashboard!$Z$4)</f>
        <v>196</v>
      </c>
      <c r="L206" s="13" t="s">
        <v>18</v>
      </c>
      <c r="M206" s="10">
        <v>2</v>
      </c>
      <c r="N206" s="9" t="str" cm="1">
        <f t="array" ref="N206">_xlfn.IFS(Table2[[#This Row],[Claims Count]]&gt;=3,"High",Table2[[#This Row],[Claims Count]]&gt;=1,"Medium",Table2[[#This Row],[Claims Count]]=0,"None")</f>
        <v>Medium</v>
      </c>
      <c r="O206" s="9" cm="1">
        <f t="array" ref="O206">(_xlfn.IFS(Table2[[#This Row],[Risk Level ]]="High",3,Table2[[#This Row],[Risk Level ]]="Medium",2,Table2[[#This Row],[Risk Level ]]="Low",1))+(_xlfn.IFS(Table2[[#This Row],[ Claims Frequency ]]="High",3,Table2[[#This Row],[ Claims Frequency ]]="Medium",1,Table2[[#This Row],[ Claims Frequency ]]="None",0))</f>
        <v>4</v>
      </c>
      <c r="P206" s="24" t="str" cm="1">
        <f t="array" ref="P206">_xlfn.IFS(Table2[[#This Row],[Final Risk Score ]]&gt;=5,"High",Table2[[#This Row],[Final Risk Score ]]&gt;=3,"Medium",Table2[[#This Row],[Final Risk Score ]]&lt;=2,"Low")</f>
        <v>Medium</v>
      </c>
      <c r="R206"/>
      <c r="S206"/>
      <c r="T206"/>
      <c r="U206"/>
    </row>
    <row r="207" spans="1:21" x14ac:dyDescent="0.25">
      <c r="A207" s="9" t="s">
        <v>253</v>
      </c>
      <c r="B207" s="13" t="s">
        <v>25</v>
      </c>
      <c r="C207" s="9" t="s">
        <v>15</v>
      </c>
      <c r="D207" s="9" t="s">
        <v>22</v>
      </c>
      <c r="E207" s="9" t="s">
        <v>17</v>
      </c>
      <c r="F207" s="30">
        <v>25901</v>
      </c>
      <c r="G207" s="31">
        <v>8317822</v>
      </c>
      <c r="H207" s="22">
        <v>45697</v>
      </c>
      <c r="I207" s="22">
        <v>46228</v>
      </c>
      <c r="J207" s="9" t="str" cm="1">
        <f t="array" aca="1" ref="J207" ca="1">_xlfn.IFS(Table2[[#This Row],[End Date]]-Dashboard!$Z$4&gt;30, "Active",Table2[[#This Row],[End Date]]-Dashboard!$Z$4&gt;0,"Expiring Soon",Table2[[#This Row],[End Date]]-Dashboard!$Z$4&lt;=0,"Expired")</f>
        <v>Active</v>
      </c>
      <c r="K207" s="10">
        <f ca="1">IF(Table2[[#This Row],[End Date]]-Dashboard!$Z$4&lt;=0,"Expired",Table2[[#This Row],[End Date]]-Dashboard!$Z$4)</f>
        <v>81</v>
      </c>
      <c r="L207" s="13" t="s">
        <v>46</v>
      </c>
      <c r="M207" s="10">
        <v>1</v>
      </c>
      <c r="N207" s="9" t="str" cm="1">
        <f t="array" ref="N207">_xlfn.IFS(Table2[[#This Row],[Claims Count]]&gt;=3,"High",Table2[[#This Row],[Claims Count]]&gt;=1,"Medium",Table2[[#This Row],[Claims Count]]=0,"None")</f>
        <v>Medium</v>
      </c>
      <c r="O207" s="9" cm="1">
        <f t="array" ref="O207">(_xlfn.IFS(Table2[[#This Row],[Risk Level ]]="High",3,Table2[[#This Row],[Risk Level ]]="Medium",2,Table2[[#This Row],[Risk Level ]]="Low",1))+(_xlfn.IFS(Table2[[#This Row],[ Claims Frequency ]]="High",3,Table2[[#This Row],[ Claims Frequency ]]="Medium",1,Table2[[#This Row],[ Claims Frequency ]]="None",0))</f>
        <v>3</v>
      </c>
      <c r="P207" s="24" t="str" cm="1">
        <f t="array" ref="P207">_xlfn.IFS(Table2[[#This Row],[Final Risk Score ]]&gt;=5,"High",Table2[[#This Row],[Final Risk Score ]]&gt;=3,"Medium",Table2[[#This Row],[Final Risk Score ]]&lt;=2,"Low")</f>
        <v>Medium</v>
      </c>
      <c r="R207"/>
      <c r="S207"/>
      <c r="T207"/>
      <c r="U207"/>
    </row>
    <row r="208" spans="1:21" x14ac:dyDescent="0.25">
      <c r="A208" s="9" t="s">
        <v>281</v>
      </c>
      <c r="B208" s="13" t="s">
        <v>56</v>
      </c>
      <c r="C208" s="9" t="s">
        <v>15</v>
      </c>
      <c r="D208" s="9" t="s">
        <v>16</v>
      </c>
      <c r="E208" s="9" t="s">
        <v>39</v>
      </c>
      <c r="F208" s="30">
        <v>18987.89</v>
      </c>
      <c r="G208" s="31">
        <v>5468189</v>
      </c>
      <c r="H208" s="22">
        <v>45666</v>
      </c>
      <c r="I208" s="22">
        <v>46198</v>
      </c>
      <c r="J208" s="9" t="str" cm="1">
        <f t="array" aca="1" ref="J208" ca="1">_xlfn.IFS(Table2[[#This Row],[End Date]]-Dashboard!$Z$4&gt;30, "Active",Table2[[#This Row],[End Date]]-Dashboard!$Z$4&gt;0,"Expiring Soon",Table2[[#This Row],[End Date]]-Dashboard!$Z$4&lt;=0,"Expired")</f>
        <v>Active</v>
      </c>
      <c r="K208" s="10">
        <f ca="1">IF(Table2[[#This Row],[End Date]]-Dashboard!$Z$4&lt;=0,"Expired",Table2[[#This Row],[End Date]]-Dashboard!$Z$4)</f>
        <v>51</v>
      </c>
      <c r="L208" s="13" t="s">
        <v>46</v>
      </c>
      <c r="M208" s="10">
        <v>5</v>
      </c>
      <c r="N208" s="9" t="str" cm="1">
        <f t="array" ref="N208">_xlfn.IFS(Table2[[#This Row],[Claims Count]]&gt;=3,"High",Table2[[#This Row],[Claims Count]]&gt;=1,"Medium",Table2[[#This Row],[Claims Count]]=0,"None")</f>
        <v>High</v>
      </c>
      <c r="O208" s="9" cm="1">
        <f t="array" ref="O208">(_xlfn.IFS(Table2[[#This Row],[Risk Level ]]="High",3,Table2[[#This Row],[Risk Level ]]="Medium",2,Table2[[#This Row],[Risk Level ]]="Low",1))+(_xlfn.IFS(Table2[[#This Row],[ Claims Frequency ]]="High",3,Table2[[#This Row],[ Claims Frequency ]]="Medium",1,Table2[[#This Row],[ Claims Frequency ]]="None",0))</f>
        <v>5</v>
      </c>
      <c r="P208" s="24" t="str" cm="1">
        <f t="array" ref="P208">_xlfn.IFS(Table2[[#This Row],[Final Risk Score ]]&gt;=5,"High",Table2[[#This Row],[Final Risk Score ]]&gt;=3,"Medium",Table2[[#This Row],[Final Risk Score ]]&lt;=2,"Low")</f>
        <v>High</v>
      </c>
      <c r="R208"/>
      <c r="S208"/>
      <c r="T208"/>
      <c r="U208"/>
    </row>
  </sheetData>
  <phoneticPr fontId="3" type="noConversion"/>
  <conditionalFormatting sqref="A8:P208">
    <cfRule type="expression" dxfId="6" priority="1">
      <formula>$J8="Expired"</formula>
    </cfRule>
  </conditionalFormatting>
  <conditionalFormatting sqref="J8:J208">
    <cfRule type="expression" dxfId="5" priority="4">
      <formula>$J8="Expiring Soon"</formula>
    </cfRule>
  </conditionalFormatting>
  <conditionalFormatting sqref="P8:P208">
    <cfRule type="expression" dxfId="4" priority="3">
      <formula>$P8="High"</formula>
    </cfRule>
  </conditionalFormatting>
  <dataValidations count="4">
    <dataValidation type="custom" allowBlank="1" showInputMessage="1" showErrorMessage="1" errorTitle="Error " error="Premium cannot be a negative number!" sqref="F8:F208" xr:uid="{81E3EC5B-2520-4136-B660-ACB864D0EA44}">
      <formula1>F8&gt;=0</formula1>
    </dataValidation>
    <dataValidation type="custom" allowBlank="1" showInputMessage="1" showErrorMessage="1" errorTitle="Error " error="Coverage Limit cannot be a negative number!" sqref="G8:G208" xr:uid="{948677D8-6B22-44CC-B316-8FE9508C3224}">
      <formula1>G8&gt;=0</formula1>
    </dataValidation>
    <dataValidation type="custom" allowBlank="1" showInputMessage="1" showErrorMessage="1" errorTitle="Error " error="Claims Count cannot be a negative number!" sqref="M8:M208" xr:uid="{233CE2F4-DC5E-4D3A-899D-1090A1B01B7F}">
      <formula1>M8&gt;=0</formula1>
    </dataValidation>
    <dataValidation type="custom" allowBlank="1" showInputMessage="1" showErrorMessage="1" errorTitle="Error " error="End Date cannot be earlier than the Start Date!" sqref="I8:I208" xr:uid="{817C218A-4027-43AE-8DFF-A30EE03E4C9E}">
      <formula1>I8&gt;=H8</formula1>
    </dataValidation>
  </dataValidations>
  <pageMargins left="0.7" right="0.7" top="0.75" bottom="0.75" header="0.3" footer="0.3"/>
  <drawing r:id="rId1"/>
  <tableParts count="1">
    <tablePart r:id="rId2"/>
  </tableParts>
  <extLst>
    <ext xmlns:x14="http://schemas.microsoft.com/office/spreadsheetml/2009/9/main" uri="{CCE6A557-97BC-4b89-ADB6-D9C93CAAB3DF}">
      <x14:dataValidations xmlns:xm="http://schemas.microsoft.com/office/excel/2006/main" count="1">
        <x14:dataValidation type="list" allowBlank="1" showInputMessage="1" showErrorMessage="1" xr:uid="{0B3F63C8-0475-43C3-9D02-6265EAE4971B}">
          <x14:formula1>
            <xm:f>_xlfn.ANCHORARRAY('KPI calculations'!$E$3)</xm:f>
          </x14:formula1>
          <xm:sqref>L8:L208</xm:sqref>
        </x14:dataValidation>
      </x14:dataValidations>
    </ext>
    <ext xmlns:x15="http://schemas.microsoft.com/office/spreadsheetml/2010/11/main" uri="{3A4CF648-6AED-40f4-86FF-DC5316D8AED3}">
      <x14:slicerList xmlns:x14="http://schemas.microsoft.com/office/spreadsheetml/2009/9/main">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FB9791-6A90-4462-B19A-E89A6A882820}">
  <dimension ref="B2:Z31"/>
  <sheetViews>
    <sheetView showGridLines="0" zoomScale="90" zoomScaleNormal="90" workbookViewId="0">
      <selection activeCell="AF29" sqref="AF29"/>
    </sheetView>
  </sheetViews>
  <sheetFormatPr defaultRowHeight="15" x14ac:dyDescent="0.25"/>
  <cols>
    <col min="26" max="26" width="12.42578125" customWidth="1"/>
    <col min="27" max="27" width="12.28515625" customWidth="1"/>
  </cols>
  <sheetData>
    <row r="2" spans="2:26" ht="15.75" thickBot="1" x14ac:dyDescent="0.3"/>
    <row r="3" spans="2:26" ht="33" customHeight="1" x14ac:dyDescent="0.25">
      <c r="B3" s="48" t="s">
        <v>266</v>
      </c>
      <c r="C3" s="49"/>
      <c r="D3" s="50"/>
      <c r="E3" s="19"/>
      <c r="F3" s="51" t="s">
        <v>267</v>
      </c>
      <c r="G3" s="49"/>
      <c r="H3" s="50"/>
      <c r="I3" s="19"/>
      <c r="J3" s="58" t="s">
        <v>269</v>
      </c>
      <c r="K3" s="49"/>
      <c r="L3" s="50"/>
      <c r="M3" s="19"/>
      <c r="N3" s="51" t="s">
        <v>268</v>
      </c>
      <c r="O3" s="49"/>
      <c r="P3" s="50"/>
      <c r="Q3" s="19"/>
      <c r="R3" s="55" t="s">
        <v>277</v>
      </c>
      <c r="S3" s="56"/>
      <c r="T3" s="57"/>
      <c r="U3" s="19"/>
      <c r="V3" s="52" t="s">
        <v>279</v>
      </c>
      <c r="W3" s="53"/>
      <c r="X3" s="54"/>
      <c r="Z3" s="34" t="s">
        <v>280</v>
      </c>
    </row>
    <row r="4" spans="2:26" ht="15.75" thickBot="1" x14ac:dyDescent="0.3">
      <c r="B4" s="36">
        <f>'KPI calculations'!C4</f>
        <v>201</v>
      </c>
      <c r="C4" s="37"/>
      <c r="D4" s="38"/>
      <c r="F4" s="42">
        <f>'KPI calculations'!C5</f>
        <v>4512140.8899999997</v>
      </c>
      <c r="G4" s="43"/>
      <c r="H4" s="44"/>
      <c r="J4" s="42">
        <f>'KPI calculations'!C6</f>
        <v>22448.462139303479</v>
      </c>
      <c r="K4" s="43"/>
      <c r="L4" s="44"/>
      <c r="N4" s="59">
        <f>'KPI calculations'!C7</f>
        <v>597</v>
      </c>
      <c r="O4" s="37"/>
      <c r="P4" s="38"/>
      <c r="R4" s="36">
        <f ca="1">'KPI calculations'!C9</f>
        <v>16</v>
      </c>
      <c r="S4" s="37"/>
      <c r="T4" s="38"/>
      <c r="V4" s="36">
        <f>'KPI calculations'!C8</f>
        <v>68</v>
      </c>
      <c r="W4" s="37"/>
      <c r="X4" s="38"/>
      <c r="Z4" s="35">
        <f ca="1">TODAY()-45</f>
        <v>46147</v>
      </c>
    </row>
    <row r="5" spans="2:26" x14ac:dyDescent="0.25">
      <c r="B5" s="36"/>
      <c r="C5" s="37"/>
      <c r="D5" s="38"/>
      <c r="F5" s="42"/>
      <c r="G5" s="43"/>
      <c r="H5" s="44"/>
      <c r="J5" s="42"/>
      <c r="K5" s="43"/>
      <c r="L5" s="44"/>
      <c r="N5" s="36"/>
      <c r="O5" s="37"/>
      <c r="P5" s="38"/>
      <c r="R5" s="36"/>
      <c r="S5" s="37"/>
      <c r="T5" s="38"/>
      <c r="V5" s="36"/>
      <c r="W5" s="37"/>
      <c r="X5" s="38"/>
    </row>
    <row r="6" spans="2:26" x14ac:dyDescent="0.25">
      <c r="B6" s="36"/>
      <c r="C6" s="37"/>
      <c r="D6" s="38"/>
      <c r="F6" s="42"/>
      <c r="G6" s="43"/>
      <c r="H6" s="44"/>
      <c r="J6" s="42"/>
      <c r="K6" s="43"/>
      <c r="L6" s="44"/>
      <c r="N6" s="36"/>
      <c r="O6" s="37"/>
      <c r="P6" s="38"/>
      <c r="R6" s="36"/>
      <c r="S6" s="37"/>
      <c r="T6" s="38"/>
      <c r="V6" s="36"/>
      <c r="W6" s="37"/>
      <c r="X6" s="38"/>
    </row>
    <row r="7" spans="2:26" ht="15.75" thickBot="1" x14ac:dyDescent="0.3">
      <c r="B7" s="39"/>
      <c r="C7" s="40"/>
      <c r="D7" s="41"/>
      <c r="F7" s="45"/>
      <c r="G7" s="46"/>
      <c r="H7" s="47"/>
      <c r="J7" s="45"/>
      <c r="K7" s="46"/>
      <c r="L7" s="47"/>
      <c r="N7" s="39"/>
      <c r="O7" s="40"/>
      <c r="P7" s="41"/>
      <c r="R7" s="39"/>
      <c r="S7" s="40"/>
      <c r="T7" s="41"/>
      <c r="V7" s="39"/>
      <c r="W7" s="40"/>
      <c r="X7" s="41"/>
    </row>
    <row r="29" spans="14:14" ht="21" x14ac:dyDescent="0.35">
      <c r="N29" s="61" t="str">
        <f>"(FINAL) High-Risk policies represent "&amp;'KPI calculations'!E8&amp;"% of the total portfolio"</f>
        <v>(FINAL) High-Risk policies represent 33.8% of the total portfolio</v>
      </c>
    </row>
    <row r="30" spans="14:14" ht="21" x14ac:dyDescent="0.35">
      <c r="N30" s="61"/>
    </row>
    <row r="31" spans="14:14" ht="21" x14ac:dyDescent="0.35">
      <c r="N31" s="61" t="str">
        <f ca="1">'KPI calculations'!E9&amp;"% of policies are expiring soon (within 30 days)"</f>
        <v>8% of policies are expiring soon (within 30 days)</v>
      </c>
    </row>
  </sheetData>
  <mergeCells count="12">
    <mergeCell ref="V4:X7"/>
    <mergeCell ref="R4:T7"/>
    <mergeCell ref="J4:L7"/>
    <mergeCell ref="B3:D3"/>
    <mergeCell ref="F3:H3"/>
    <mergeCell ref="N3:P3"/>
    <mergeCell ref="V3:X3"/>
    <mergeCell ref="R3:T3"/>
    <mergeCell ref="J3:L3"/>
    <mergeCell ref="B4:D7"/>
    <mergeCell ref="F4:H7"/>
    <mergeCell ref="N4:P7"/>
  </mergeCells>
  <conditionalFormatting sqref="R4:T7">
    <cfRule type="cellIs" dxfId="3" priority="1" operator="between">
      <formula>11</formula>
      <formula>25</formula>
    </cfRule>
    <cfRule type="cellIs" dxfId="2" priority="3" operator="greaterThanOrEqual">
      <formula>26</formula>
    </cfRule>
  </conditionalFormatting>
  <conditionalFormatting sqref="V4:X7">
    <cfRule type="cellIs" dxfId="1" priority="2" operator="between">
      <formula>21</formula>
      <formula>40</formula>
    </cfRule>
    <cfRule type="cellIs" dxfId="0" priority="4" operator="greaterThanOrEqual">
      <formula>41</formula>
    </cfRule>
  </conditionalFormatting>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C1D401-6708-4839-9BFB-04265251E0C3}">
  <dimension ref="B1:E9"/>
  <sheetViews>
    <sheetView showGridLines="0" workbookViewId="0">
      <selection activeCell="S11" sqref="S11"/>
    </sheetView>
  </sheetViews>
  <sheetFormatPr defaultRowHeight="15" x14ac:dyDescent="0.25"/>
  <cols>
    <col min="2" max="3" width="17.140625" customWidth="1"/>
    <col min="4" max="4" width="12.7109375" bestFit="1" customWidth="1"/>
    <col min="5" max="5" width="12.85546875" customWidth="1"/>
  </cols>
  <sheetData>
    <row r="1" spans="2:5" ht="15.75" thickBot="1" x14ac:dyDescent="0.3"/>
    <row r="2" spans="2:5" ht="30" x14ac:dyDescent="0.25">
      <c r="B2" s="32" t="s">
        <v>260</v>
      </c>
      <c r="C2" s="63" t="s">
        <v>259</v>
      </c>
      <c r="E2" s="33" t="s">
        <v>270</v>
      </c>
    </row>
    <row r="3" spans="2:5" x14ac:dyDescent="0.25">
      <c r="B3" s="11"/>
      <c r="C3" s="64"/>
      <c r="E3" t="str" cm="1">
        <f t="array" ref="E3:E5">_xlfn.VSTACK(_xlfn.CHOOSEROWS(_xlfn.UNIQUE(Table2[[Risk Level ]]),2),_xlfn.CHOOSEROWS(_xlfn.UNIQUE(Table2[[Risk Level ]]),1),_xlfn.CHOOSEROWS(_xlfn.UNIQUE(Table2[[Risk Level ]]),3))</f>
        <v>Low</v>
      </c>
    </row>
    <row r="4" spans="2:5" x14ac:dyDescent="0.25">
      <c r="B4" s="68" t="s">
        <v>255</v>
      </c>
      <c r="C4" s="69">
        <f>COUNTA(Table2[Policy ID])</f>
        <v>201</v>
      </c>
      <c r="E4" t="str">
        <v>Medium</v>
      </c>
    </row>
    <row r="5" spans="2:5" x14ac:dyDescent="0.25">
      <c r="B5" s="68" t="s">
        <v>256</v>
      </c>
      <c r="C5" s="69">
        <f>SUM(Table2[Premium])</f>
        <v>4512140.8899999997</v>
      </c>
      <c r="E5" t="str">
        <v>High</v>
      </c>
    </row>
    <row r="6" spans="2:5" x14ac:dyDescent="0.25">
      <c r="B6" s="68" t="s">
        <v>257</v>
      </c>
      <c r="C6" s="69">
        <f>AVERAGE(Table2[Premium])</f>
        <v>22448.462139303479</v>
      </c>
    </row>
    <row r="7" spans="2:5" ht="15.75" thickBot="1" x14ac:dyDescent="0.3">
      <c r="B7" s="68" t="s">
        <v>258</v>
      </c>
      <c r="C7" s="69">
        <f>SUM(Table2[Claims Count])</f>
        <v>597</v>
      </c>
    </row>
    <row r="8" spans="2:5" ht="32.25" customHeight="1" x14ac:dyDescent="0.25">
      <c r="B8" s="68" t="s">
        <v>274</v>
      </c>
      <c r="C8" s="69">
        <f>COUNTIF(Table2[Final Risk Level], "High")</f>
        <v>68</v>
      </c>
      <c r="D8" s="67" t="s">
        <v>271</v>
      </c>
      <c r="E8" s="66">
        <f>ROUND(((C8/C4)*100),1)</f>
        <v>33.799999999999997</v>
      </c>
    </row>
    <row r="9" spans="2:5" ht="33" customHeight="1" thickBot="1" x14ac:dyDescent="0.3">
      <c r="B9" s="70" t="s">
        <v>261</v>
      </c>
      <c r="C9" s="71">
        <f ca="1">COUNTIF(Table2[[Policy Status ]],"Expiring Soon")</f>
        <v>16</v>
      </c>
      <c r="D9" s="65" t="s">
        <v>271</v>
      </c>
      <c r="E9" s="12">
        <f ca="1">ROUND(((C9/C4)*100),1)</f>
        <v>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1A43BC-33DB-4B11-869A-F179B86B936A}">
  <dimension ref="B2:F20"/>
  <sheetViews>
    <sheetView showGridLines="0" tabSelected="1" workbookViewId="0">
      <selection activeCell="J8" sqref="J8"/>
    </sheetView>
  </sheetViews>
  <sheetFormatPr defaultRowHeight="15" x14ac:dyDescent="0.25"/>
  <cols>
    <col min="2" max="2" width="17.28515625" customWidth="1"/>
    <col min="3" max="3" width="18.28515625" customWidth="1"/>
    <col min="4" max="4" width="17" bestFit="1" customWidth="1"/>
    <col min="5" max="5" width="13.5703125" customWidth="1"/>
    <col min="6" max="6" width="17.28515625" customWidth="1"/>
    <col min="7" max="7" width="16" bestFit="1" customWidth="1"/>
    <col min="8" max="8" width="17.28515625" bestFit="1" customWidth="1"/>
    <col min="9" max="9" width="18.42578125" customWidth="1"/>
    <col min="11" max="11" width="15.28515625" bestFit="1" customWidth="1"/>
    <col min="12" max="12" width="18" bestFit="1" customWidth="1"/>
  </cols>
  <sheetData>
    <row r="2" spans="2:6" x14ac:dyDescent="0.25">
      <c r="B2" s="18" t="s">
        <v>1</v>
      </c>
      <c r="C2" t="s">
        <v>256</v>
      </c>
      <c r="E2" s="18" t="s">
        <v>263</v>
      </c>
      <c r="F2" t="s">
        <v>264</v>
      </c>
    </row>
    <row r="3" spans="2:6" x14ac:dyDescent="0.25">
      <c r="B3" s="9" t="s">
        <v>38</v>
      </c>
      <c r="C3" s="4">
        <v>554082</v>
      </c>
      <c r="E3" s="9" t="s">
        <v>37</v>
      </c>
      <c r="F3" s="6">
        <v>183</v>
      </c>
    </row>
    <row r="4" spans="2:6" x14ac:dyDescent="0.25">
      <c r="B4" s="9" t="s">
        <v>16</v>
      </c>
      <c r="C4" s="4">
        <v>518385.89</v>
      </c>
      <c r="E4" s="9" t="s">
        <v>21</v>
      </c>
      <c r="F4" s="6">
        <v>173</v>
      </c>
    </row>
    <row r="5" spans="2:6" x14ac:dyDescent="0.25">
      <c r="B5" s="9" t="s">
        <v>48</v>
      </c>
      <c r="C5" s="4">
        <v>510761</v>
      </c>
      <c r="E5" s="9" t="s">
        <v>15</v>
      </c>
      <c r="F5" s="6">
        <v>126</v>
      </c>
    </row>
    <row r="6" spans="2:6" x14ac:dyDescent="0.25">
      <c r="B6" s="9" t="s">
        <v>22</v>
      </c>
      <c r="C6" s="4">
        <v>501205</v>
      </c>
      <c r="E6" s="9" t="s">
        <v>30</v>
      </c>
      <c r="F6" s="6">
        <v>115</v>
      </c>
    </row>
    <row r="7" spans="2:6" x14ac:dyDescent="0.25">
      <c r="B7" s="9" t="s">
        <v>41</v>
      </c>
      <c r="C7" s="4">
        <v>495899</v>
      </c>
      <c r="E7" s="9" t="s">
        <v>262</v>
      </c>
      <c r="F7" s="6">
        <v>597</v>
      </c>
    </row>
    <row r="8" spans="2:6" x14ac:dyDescent="0.25">
      <c r="B8" s="9" t="s">
        <v>31</v>
      </c>
      <c r="C8" s="4">
        <v>458636</v>
      </c>
    </row>
    <row r="9" spans="2:6" x14ac:dyDescent="0.25">
      <c r="B9" s="9" t="s">
        <v>34</v>
      </c>
      <c r="C9" s="4">
        <v>451590</v>
      </c>
    </row>
    <row r="10" spans="2:6" x14ac:dyDescent="0.25">
      <c r="B10" s="9" t="s">
        <v>26</v>
      </c>
      <c r="C10" s="4">
        <v>410548</v>
      </c>
    </row>
    <row r="11" spans="2:6" x14ac:dyDescent="0.25">
      <c r="B11" s="9" t="s">
        <v>54</v>
      </c>
      <c r="C11" s="4">
        <v>324289</v>
      </c>
      <c r="E11" s="18" t="s">
        <v>6</v>
      </c>
      <c r="F11" t="s">
        <v>265</v>
      </c>
    </row>
    <row r="12" spans="2:6" x14ac:dyDescent="0.25">
      <c r="B12" s="9" t="s">
        <v>57</v>
      </c>
      <c r="C12" s="4">
        <v>286745</v>
      </c>
      <c r="E12" s="9" t="s">
        <v>23</v>
      </c>
      <c r="F12" s="60">
        <v>38</v>
      </c>
    </row>
    <row r="13" spans="2:6" x14ac:dyDescent="0.25">
      <c r="B13" s="9" t="s">
        <v>262</v>
      </c>
      <c r="C13" s="4">
        <v>4512140.8900000006</v>
      </c>
      <c r="E13" s="9" t="s">
        <v>17</v>
      </c>
      <c r="F13" s="60">
        <v>38</v>
      </c>
    </row>
    <row r="14" spans="2:6" x14ac:dyDescent="0.25">
      <c r="E14" s="9" t="s">
        <v>49</v>
      </c>
      <c r="F14" s="60">
        <v>39</v>
      </c>
    </row>
    <row r="15" spans="2:6" x14ac:dyDescent="0.25">
      <c r="E15" s="9" t="s">
        <v>27</v>
      </c>
      <c r="F15" s="60">
        <v>42</v>
      </c>
    </row>
    <row r="16" spans="2:6" x14ac:dyDescent="0.25">
      <c r="B16" s="18" t="s">
        <v>275</v>
      </c>
      <c r="C16" t="s">
        <v>278</v>
      </c>
      <c r="E16" s="9" t="s">
        <v>39</v>
      </c>
      <c r="F16" s="60">
        <v>44</v>
      </c>
    </row>
    <row r="17" spans="2:6" x14ac:dyDescent="0.25">
      <c r="B17" s="9" t="s">
        <v>11</v>
      </c>
      <c r="C17">
        <v>36</v>
      </c>
      <c r="E17" s="9" t="s">
        <v>262</v>
      </c>
      <c r="F17" s="60">
        <v>201</v>
      </c>
    </row>
    <row r="18" spans="2:6" x14ac:dyDescent="0.25">
      <c r="B18" s="9" t="s">
        <v>46</v>
      </c>
      <c r="C18">
        <v>97</v>
      </c>
    </row>
    <row r="19" spans="2:6" x14ac:dyDescent="0.25">
      <c r="B19" s="9" t="s">
        <v>18</v>
      </c>
      <c r="C19">
        <v>68</v>
      </c>
    </row>
    <row r="20" spans="2:6" x14ac:dyDescent="0.25">
      <c r="B20" s="9" t="s">
        <v>262</v>
      </c>
      <c r="C20">
        <v>201</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B43EEA7A-DA27-4894-BA18-0B6AE574E646}">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1</vt:i4>
      </vt:variant>
    </vt:vector>
  </HeadingPairs>
  <TitlesOfParts>
    <vt:vector size="5" baseType="lpstr">
      <vt:lpstr>Policy Table </vt:lpstr>
      <vt:lpstr>Dashboard</vt:lpstr>
      <vt:lpstr>KPI calculations</vt:lpstr>
      <vt:lpstr>PivotTables </vt:lpstr>
      <vt:lpstr>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Jacques le Roux</dc:creator>
  <cp:lastModifiedBy>Jacques le Roux</cp:lastModifiedBy>
  <dcterms:created xsi:type="dcterms:W3CDTF">2026-05-07T07:34:32Z</dcterms:created>
  <dcterms:modified xsi:type="dcterms:W3CDTF">2026-06-19T07:53:17Z</dcterms:modified>
</cp:coreProperties>
</file>